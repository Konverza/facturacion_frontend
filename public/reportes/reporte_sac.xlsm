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967b2abe915b65f/Facturación Electrónica/Frontend/nuevo_dashboard/public/reportes/"/>
    </mc:Choice>
  </mc:AlternateContent>
  <xr:revisionPtr revIDLastSave="8" documentId="8_{C2472C50-99EC-4AF8-AB8D-A45A5D14A50E}" xr6:coauthVersionLast="47" xr6:coauthVersionMax="47" xr10:uidLastSave="{1240EBE6-3016-4B2B-9614-A08FC591071E}"/>
  <bookViews>
    <workbookView xWindow="-120" yWindow="-120" windowWidth="29040" windowHeight="15720" tabRatio="584" activeTab="2" xr2:uid="{0FC884D2-DADA-4A8D-A9CD-BDBA9DA332AD}"/>
  </bookViews>
  <sheets>
    <sheet name="AYUDA" sheetId="4" r:id="rId1"/>
    <sheet name="Clientes" sheetId="1" r:id="rId2"/>
    <sheet name="ventas" sheetId="2" r:id="rId3"/>
    <sheet name="detalle_ventas" sheetId="3" r:id="rId4"/>
  </sheets>
  <definedNames>
    <definedName name="_xlnm._FilterDatabase" localSheetId="1" hidden="1">'Clientes'!$A$1:$AM$385</definedName>
    <definedName name="_xlnm._FilterDatabase" localSheetId="2" hidden="1">ventas!$A$1:$CM$2</definedName>
    <definedName name="Garrafon">AYUDA!$J$4:$J$6</definedName>
    <definedName name="Pet_500_ml___Agua">AYUDA!$K$4:$K$6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2" l="1"/>
  <c r="H2" i="3"/>
  <c r="Z2" i="2" l="1"/>
  <c r="AA2" i="2"/>
  <c r="J2" i="3" l="1"/>
  <c r="B2" i="2"/>
  <c r="G2" i="2"/>
  <c r="H2" i="2"/>
  <c r="I2" i="2"/>
  <c r="J2" i="2"/>
  <c r="K2" i="2"/>
  <c r="L2" i="2"/>
  <c r="M2" i="2"/>
  <c r="R2" i="2"/>
  <c r="T2" i="2"/>
  <c r="W2" i="2"/>
  <c r="AH2" i="2"/>
  <c r="AI2" i="2"/>
  <c r="AL2" i="2"/>
  <c r="AN2" i="2"/>
  <c r="AO2" i="2"/>
  <c r="AP2" i="2"/>
  <c r="AR2" i="2"/>
  <c r="AT2" i="2"/>
  <c r="AU2" i="2"/>
  <c r="AW2" i="2"/>
  <c r="BF2" i="2"/>
  <c r="BH2" i="2"/>
  <c r="BI2" i="2"/>
  <c r="I17" i="4" l="1"/>
</calcChain>
</file>

<file path=xl/sharedStrings.xml><?xml version="1.0" encoding="utf-8"?>
<sst xmlns="http://schemas.openxmlformats.org/spreadsheetml/2006/main" count="11934" uniqueCount="1811">
  <si>
    <t>cod_cliente</t>
  </si>
  <si>
    <t>nombre</t>
  </si>
  <si>
    <t>direccion</t>
  </si>
  <si>
    <t>municipio</t>
  </si>
  <si>
    <t>departamento</t>
  </si>
  <si>
    <t>giro</t>
  </si>
  <si>
    <t>num_registro</t>
  </si>
  <si>
    <t>numero_nit</t>
  </si>
  <si>
    <t>telefonos</t>
  </si>
  <si>
    <t>numero_fax</t>
  </si>
  <si>
    <t>correo_electronico</t>
  </si>
  <si>
    <t>contactos</t>
  </si>
  <si>
    <t>saldo_actual</t>
  </si>
  <si>
    <t>limite_credito</t>
  </si>
  <si>
    <t>forma_pago</t>
  </si>
  <si>
    <t>dias_credito</t>
  </si>
  <si>
    <t>id_cuenta</t>
  </si>
  <si>
    <t>aplica_retencion</t>
  </si>
  <si>
    <t>cod_vendedor</t>
  </si>
  <si>
    <t>fecha_ult_pago</t>
  </si>
  <si>
    <t>creado_por</t>
  </si>
  <si>
    <t>fecha_hora_creacion</t>
  </si>
  <si>
    <t>numero_dui</t>
  </si>
  <si>
    <t>id_lista</t>
  </si>
  <si>
    <t>nombre_lista</t>
  </si>
  <si>
    <t>nom_representante_legal</t>
  </si>
  <si>
    <t>doc_representante_legal</t>
  </si>
  <si>
    <t>tipo_persona</t>
  </si>
  <si>
    <t>fecha_nacimiento</t>
  </si>
  <si>
    <t>telefono_movil</t>
  </si>
  <si>
    <t>cod_cobrador</t>
  </si>
  <si>
    <t>nombre1</t>
  </si>
  <si>
    <t>tipodocumento_cli</t>
  </si>
  <si>
    <t>codactividad_cli</t>
  </si>
  <si>
    <t>descactividad_cli</t>
  </si>
  <si>
    <t>direccion_departamento_cli</t>
  </si>
  <si>
    <t>direccion_municipio_cli</t>
  </si>
  <si>
    <t>cod_pais</t>
  </si>
  <si>
    <t>nombre_pais</t>
  </si>
  <si>
    <t>1</t>
  </si>
  <si>
    <t/>
  </si>
  <si>
    <t>Sonsonate</t>
  </si>
  <si>
    <t>Recoleccion y transporte de desechos solidos</t>
  </si>
  <si>
    <t>228055-3</t>
  </si>
  <si>
    <t>0614-080813-105-4</t>
  </si>
  <si>
    <t>1102010102</t>
  </si>
  <si>
    <t>06</t>
  </si>
  <si>
    <t xml:space="preserve">  -   -  : :</t>
  </si>
  <si>
    <t>Precio Detalle (De 1 a 10 Garrafas)</t>
  </si>
  <si>
    <t xml:space="preserve">  -   -</t>
  </si>
  <si>
    <t>2</t>
  </si>
  <si>
    <t>San Salvador</t>
  </si>
  <si>
    <t>166236-6</t>
  </si>
  <si>
    <t>0614-150605-101-5</t>
  </si>
  <si>
    <t>1102010103</t>
  </si>
  <si>
    <t>3</t>
  </si>
  <si>
    <t>265437-6</t>
  </si>
  <si>
    <t>0614-231117-103-9</t>
  </si>
  <si>
    <t>1102010302</t>
  </si>
  <si>
    <t>01</t>
  </si>
  <si>
    <t>4</t>
  </si>
  <si>
    <t>Mides S.E.M. de C.V.</t>
  </si>
  <si>
    <t>Nejapa</t>
  </si>
  <si>
    <t>103758-7</t>
  </si>
  <si>
    <t>0614-021297-102-0</t>
  </si>
  <si>
    <t>1102010101</t>
  </si>
  <si>
    <t>5</t>
  </si>
  <si>
    <t>Giovanni Martinez</t>
  </si>
  <si>
    <t>1102010301</t>
  </si>
  <si>
    <t>6</t>
  </si>
  <si>
    <t>ECOSS S.E.M. de C.V.</t>
  </si>
  <si>
    <t>287989-3</t>
  </si>
  <si>
    <t>0614-100120-102-0</t>
  </si>
  <si>
    <t>1102010104</t>
  </si>
  <si>
    <t>7</t>
  </si>
  <si>
    <t>33028-0</t>
  </si>
  <si>
    <t>0614-160787-005-0</t>
  </si>
  <si>
    <t>1102010210</t>
  </si>
  <si>
    <t>8</t>
  </si>
  <si>
    <t>Publicidad</t>
  </si>
  <si>
    <t>257579-9</t>
  </si>
  <si>
    <t>0614-110217-101-7</t>
  </si>
  <si>
    <t>1102010202</t>
  </si>
  <si>
    <t>9</t>
  </si>
  <si>
    <t>Construcción</t>
  </si>
  <si>
    <t>159485-4</t>
  </si>
  <si>
    <t>0614-050204-109-4</t>
  </si>
  <si>
    <t>07</t>
  </si>
  <si>
    <t>Acotransa R-52 de R.L</t>
  </si>
  <si>
    <t>10</t>
  </si>
  <si>
    <t>1102010206</t>
  </si>
  <si>
    <t>11</t>
  </si>
  <si>
    <t>Calle y Colonia la Mascota #2</t>
  </si>
  <si>
    <t>Fabricacion de prendas de Vestir</t>
  </si>
  <si>
    <t>231110-1</t>
  </si>
  <si>
    <t>0614-140214-102-0</t>
  </si>
  <si>
    <t>1102010201</t>
  </si>
  <si>
    <t>12</t>
  </si>
  <si>
    <t>Venta al por menos de otros productos</t>
  </si>
  <si>
    <t>203667-0</t>
  </si>
  <si>
    <t>0614-060710-107-6</t>
  </si>
  <si>
    <t>13</t>
  </si>
  <si>
    <t>venta de productos de uso personal</t>
  </si>
  <si>
    <t>197720-4</t>
  </si>
  <si>
    <t>0614-191109-105-9</t>
  </si>
  <si>
    <t>14</t>
  </si>
  <si>
    <t>127506-2</t>
  </si>
  <si>
    <t>0614-030101-101-4</t>
  </si>
  <si>
    <t>15</t>
  </si>
  <si>
    <t>Venta al por mayor de otros productos</t>
  </si>
  <si>
    <t>107551-9</t>
  </si>
  <si>
    <t>9483-190698-101-4</t>
  </si>
  <si>
    <t>16</t>
  </si>
  <si>
    <t>Construccion de Obras de Ingenieria Civil</t>
  </si>
  <si>
    <t>220987-0</t>
  </si>
  <si>
    <t>0614-201112-103-3</t>
  </si>
  <si>
    <t>1102010107</t>
  </si>
  <si>
    <t>17</t>
  </si>
  <si>
    <t>Silvia Andrea Rodriguez de Olivares</t>
  </si>
  <si>
    <t>Servicios Medicos</t>
  </si>
  <si>
    <t>147403-1</t>
  </si>
  <si>
    <t>0306-140169-101-4</t>
  </si>
  <si>
    <t>18</t>
  </si>
  <si>
    <t>Rocio del Carmen Melendez de Juarez</t>
  </si>
  <si>
    <t>218497-4</t>
  </si>
  <si>
    <t>0614-210970-124-7</t>
  </si>
  <si>
    <t>19</t>
  </si>
  <si>
    <t>141560-6</t>
  </si>
  <si>
    <t>0614-201291-103-4</t>
  </si>
  <si>
    <t>1102010106</t>
  </si>
  <si>
    <t>20</t>
  </si>
  <si>
    <t>Venta de pescado</t>
  </si>
  <si>
    <t>273145-9</t>
  </si>
  <si>
    <t>0614-060918-104-2</t>
  </si>
  <si>
    <t>21</t>
  </si>
  <si>
    <t>Blanco Rodriguez y Compañía</t>
  </si>
  <si>
    <t>7 calle poniene # 15-229 Colonia Escalón</t>
  </si>
  <si>
    <t>Actividades Juridicas</t>
  </si>
  <si>
    <t>103007-8</t>
  </si>
  <si>
    <t>0614-060198-101-5</t>
  </si>
  <si>
    <t>22</t>
  </si>
  <si>
    <t>Rodolfo Antonio Mejia</t>
  </si>
  <si>
    <t>Final Cl Oslo y Calle el bosque col escandia #10</t>
  </si>
  <si>
    <t>Ayutuxtepeque</t>
  </si>
  <si>
    <t>Venta de Vehiculos Automotores</t>
  </si>
  <si>
    <t>147996-8</t>
  </si>
  <si>
    <t>0619-260966-001-9</t>
  </si>
  <si>
    <t>23</t>
  </si>
  <si>
    <t>Colonia Escalón Calle el mirador y 97 Av. Norte Edificio Rosa # 738</t>
  </si>
  <si>
    <t>Transporte aereo</t>
  </si>
  <si>
    <t>151171-5</t>
  </si>
  <si>
    <t>0614-220703-104-7</t>
  </si>
  <si>
    <t>22649158</t>
  </si>
  <si>
    <t>1102010209</t>
  </si>
  <si>
    <t>24</t>
  </si>
  <si>
    <t>Sda. Res. Sierra Verde # 64-2  Brisas de SantoTomas</t>
  </si>
  <si>
    <t>Santo Tomas</t>
  </si>
  <si>
    <t>Agencia de Viajes</t>
  </si>
  <si>
    <t>263075-4</t>
  </si>
  <si>
    <t>0614-090817-106-1</t>
  </si>
  <si>
    <t>25</t>
  </si>
  <si>
    <t>Maria Marta Hernandez</t>
  </si>
  <si>
    <t>93 Av. Norte sda. La Joya Col. Escalon Res. Capistran Casa 2</t>
  </si>
  <si>
    <t>Peluqueria</t>
  </si>
  <si>
    <t>106417-7</t>
  </si>
  <si>
    <t>1115-180167-001-3</t>
  </si>
  <si>
    <t>26</t>
  </si>
  <si>
    <t>Israel Maximiliano Garcia</t>
  </si>
  <si>
    <t>155585-0</t>
  </si>
  <si>
    <t>0614-040768-108-5</t>
  </si>
  <si>
    <t>1102010203</t>
  </si>
  <si>
    <t>27</t>
  </si>
  <si>
    <t>271447-3</t>
  </si>
  <si>
    <t>0614-090718-102-0</t>
  </si>
  <si>
    <t>28</t>
  </si>
  <si>
    <t>Blvd Venezuela y antigua Calle a Santa Tecla</t>
  </si>
  <si>
    <t>30668-1</t>
  </si>
  <si>
    <t>0614-100890-102-8</t>
  </si>
  <si>
    <t>29</t>
  </si>
  <si>
    <t>Ale Acosta</t>
  </si>
  <si>
    <t>30</t>
  </si>
  <si>
    <t>Clientes Varios</t>
  </si>
  <si>
    <t>31</t>
  </si>
  <si>
    <t>fabricacion de Perfumes</t>
  </si>
  <si>
    <t>249464-9</t>
  </si>
  <si>
    <t>0614-170316-103-5</t>
  </si>
  <si>
    <t>32</t>
  </si>
  <si>
    <t>Graciela Rivera</t>
  </si>
  <si>
    <t>33</t>
  </si>
  <si>
    <t>Distribuidor Max Enrique Sanchez</t>
  </si>
  <si>
    <t>34</t>
  </si>
  <si>
    <t>Otras Actividades</t>
  </si>
  <si>
    <t>290688-0</t>
  </si>
  <si>
    <t>0614-170320-105-3</t>
  </si>
  <si>
    <t>35</t>
  </si>
  <si>
    <t>36</t>
  </si>
  <si>
    <t>Clientes Varios Ruta #1</t>
  </si>
  <si>
    <t>Calle Antigua Zacamil</t>
  </si>
  <si>
    <t>Clientes Varios Ruta #2</t>
  </si>
  <si>
    <t>Escalon Norte</t>
  </si>
  <si>
    <t>37</t>
  </si>
  <si>
    <t>38</t>
  </si>
  <si>
    <t>Clientes Varios Ruta #3</t>
  </si>
  <si>
    <t>Escalon Media</t>
  </si>
  <si>
    <t>Clientes Varios Ruta #4</t>
  </si>
  <si>
    <t>La Mascota/Maquilishuat</t>
  </si>
  <si>
    <t>39</t>
  </si>
  <si>
    <t>40</t>
  </si>
  <si>
    <t>Clientes Varios Ruta #5</t>
  </si>
  <si>
    <t>41</t>
  </si>
  <si>
    <t>Clientes Varios Ruta #6</t>
  </si>
  <si>
    <t>Balam Quitze</t>
  </si>
  <si>
    <t>42</t>
  </si>
  <si>
    <t>Clientes Varios Ruta #7</t>
  </si>
  <si>
    <t>Flor Blanca</t>
  </si>
  <si>
    <t>43</t>
  </si>
  <si>
    <t>Clientes Varios Ruta #8</t>
  </si>
  <si>
    <t>Colonia Medica</t>
  </si>
  <si>
    <t>44</t>
  </si>
  <si>
    <t>Clientes Varios Ruta #9</t>
  </si>
  <si>
    <t>Ciudad Delgado</t>
  </si>
  <si>
    <t>45</t>
  </si>
  <si>
    <t>Clientes Varios Ruta #10</t>
  </si>
  <si>
    <t>Bodegas Apopa</t>
  </si>
  <si>
    <t>46</t>
  </si>
  <si>
    <t>SAN SALVADOR</t>
  </si>
  <si>
    <t>ACTIVIDADES VARIAS DE RESTAURANTES</t>
  </si>
  <si>
    <t>163342-0</t>
  </si>
  <si>
    <t>0614-070205-107-8</t>
  </si>
  <si>
    <t>ADMINISTRADOR</t>
  </si>
  <si>
    <t>47</t>
  </si>
  <si>
    <t>EDWIN ALBERTO JIMENEZ AMAYA</t>
  </si>
  <si>
    <t>214565-7</t>
  </si>
  <si>
    <t>0801-031079-101-0</t>
  </si>
  <si>
    <t>48</t>
  </si>
  <si>
    <t>TECNICAS DE RIESGO DE CENTROAMERICA SA DE CV</t>
  </si>
  <si>
    <t>114288-7</t>
  </si>
  <si>
    <t>0614-130799-103-3</t>
  </si>
  <si>
    <t>49</t>
  </si>
  <si>
    <t>PROCESAMIENTO DE DATOS</t>
  </si>
  <si>
    <t>172345-5</t>
  </si>
  <si>
    <t>0614-160506-105-7</t>
  </si>
  <si>
    <t>50</t>
  </si>
  <si>
    <t>VENTA AL POR MAYOR</t>
  </si>
  <si>
    <t>207014-4</t>
  </si>
  <si>
    <t>0614-210111-108-4</t>
  </si>
  <si>
    <t>51</t>
  </si>
  <si>
    <t>APOPA</t>
  </si>
  <si>
    <t>VENTA DE EQUIPOS</t>
  </si>
  <si>
    <t>158338-2</t>
  </si>
  <si>
    <t>0614-050604-103-0</t>
  </si>
  <si>
    <t>52</t>
  </si>
  <si>
    <t>DISTRIBUIDORA SALVADOREÑA DE PRODUCTOS SA DE CV</t>
  </si>
  <si>
    <t>OPOPA</t>
  </si>
  <si>
    <t>VENTA AL POR MAYOR DE</t>
  </si>
  <si>
    <t>288323-0</t>
  </si>
  <si>
    <t>0614-070120-102-5</t>
  </si>
  <si>
    <t>53</t>
  </si>
  <si>
    <t>VENTA AL POR MAYOR DE LUBRICANTES</t>
  </si>
  <si>
    <t>158974-6</t>
  </si>
  <si>
    <t>0614-120304-108-4</t>
  </si>
  <si>
    <t>1102010105</t>
  </si>
  <si>
    <t>54</t>
  </si>
  <si>
    <t>AGENCIA ALEMANA DE EL SALVADOR</t>
  </si>
  <si>
    <t>285537-0</t>
  </si>
  <si>
    <t>0614-211019-103-1</t>
  </si>
  <si>
    <t>55</t>
  </si>
  <si>
    <t>OFIBODEGAS APOPA LOCAL #23</t>
  </si>
  <si>
    <t>VENTA DE REPUESTOS PARA VEHICULO</t>
  </si>
  <si>
    <t>210365-3</t>
  </si>
  <si>
    <t>0614-280711-101-0</t>
  </si>
  <si>
    <t>56</t>
  </si>
  <si>
    <t>CARRETERA TRONCAL DEL NORTE KM 8 1/2 CIUDAD DELGADO</t>
  </si>
  <si>
    <t>CIUDAD DELGADO</t>
  </si>
  <si>
    <t>126860-7</t>
  </si>
  <si>
    <t>0614-071000-103-9</t>
  </si>
  <si>
    <t>57</t>
  </si>
  <si>
    <t>ACTIVIDADES DE CONTABILIDAD</t>
  </si>
  <si>
    <t>5980-3</t>
  </si>
  <si>
    <t>0614-061067-001-5</t>
  </si>
  <si>
    <t>58</t>
  </si>
  <si>
    <t>KARLA JEANETH SAADE DE LARA</t>
  </si>
  <si>
    <t>SERVICIOS MEDICOS</t>
  </si>
  <si>
    <t>130424-0</t>
  </si>
  <si>
    <t>0203-240974-102-5</t>
  </si>
  <si>
    <t>CECILIA BAIRES</t>
  </si>
  <si>
    <t>ESCALON NORTE</t>
  </si>
  <si>
    <t>59</t>
  </si>
  <si>
    <t>1   -      -   -</t>
  </si>
  <si>
    <t>60</t>
  </si>
  <si>
    <t>MARIO "COCTELES"</t>
  </si>
  <si>
    <t>61</t>
  </si>
  <si>
    <t>MANUEL ALBERTO CUERNO RICO</t>
  </si>
  <si>
    <t>MEJICANOS</t>
  </si>
  <si>
    <t>ACTIVIDADES DE CONSULTORIA EN GESTION EMPRESARIAL</t>
  </si>
  <si>
    <t>245048-0</t>
  </si>
  <si>
    <t>0614-250389-103-5</t>
  </si>
  <si>
    <t>62</t>
  </si>
  <si>
    <t>JAVIER ALEJANDRO PRUNERA VASQUEZ</t>
  </si>
  <si>
    <t>267745-4</t>
  </si>
  <si>
    <t>0614-220682-115-0</t>
  </si>
  <si>
    <t>63</t>
  </si>
  <si>
    <t>REPARACION Y MANTENIMIENTO</t>
  </si>
  <si>
    <t>194089-0</t>
  </si>
  <si>
    <t>0614-070509-106-2</t>
  </si>
  <si>
    <t>64</t>
  </si>
  <si>
    <t>ENSEÑANZA SUPERIOR</t>
  </si>
  <si>
    <t>295038-0</t>
  </si>
  <si>
    <t>0614-140820-110-6</t>
  </si>
  <si>
    <t>65</t>
  </si>
  <si>
    <t>HECTOR IVAN ARGUETA CASTRO</t>
  </si>
  <si>
    <t>SERVICIOS N.C.P</t>
  </si>
  <si>
    <t>296118-2</t>
  </si>
  <si>
    <t>1123-230793-105-2</t>
  </si>
  <si>
    <t>66</t>
  </si>
  <si>
    <t>VENTA AL POR MAYOR DE OTROS PRODCUTOS</t>
  </si>
  <si>
    <t>267204-6</t>
  </si>
  <si>
    <t>0614-250118-102-2</t>
  </si>
  <si>
    <t>67</t>
  </si>
  <si>
    <t>278774-2</t>
  </si>
  <si>
    <t>0614-250219-108-0</t>
  </si>
  <si>
    <t>68</t>
  </si>
  <si>
    <t>Manufactura de Productos</t>
  </si>
  <si>
    <t>125197-0</t>
  </si>
  <si>
    <t>0614-080800-104-5</t>
  </si>
  <si>
    <t>69</t>
  </si>
  <si>
    <t>CALLE SAN JOSE COL CUCUMACAYAN #212</t>
  </si>
  <si>
    <t>237630-5</t>
  </si>
  <si>
    <t>0614-181214-102-8</t>
  </si>
  <si>
    <t>70</t>
  </si>
  <si>
    <t>MOISES EDUARDO DABOUB RODRIGUEZ</t>
  </si>
  <si>
    <t>PREPARACION DE COMIDA PARA EVENTOS ESPECIALES</t>
  </si>
  <si>
    <t>271832-3</t>
  </si>
  <si>
    <t>0614-170873-101-8</t>
  </si>
  <si>
    <t>71</t>
  </si>
  <si>
    <t>Santa Tecla</t>
  </si>
  <si>
    <t>La Libertad</t>
  </si>
  <si>
    <t>Almacenes</t>
  </si>
  <si>
    <t>261609-1</t>
  </si>
  <si>
    <t>0614-120717-103-9</t>
  </si>
  <si>
    <t>72</t>
  </si>
  <si>
    <t>ILOPANGO</t>
  </si>
  <si>
    <t>ENSEÑANZA</t>
  </si>
  <si>
    <t>278331-1</t>
  </si>
  <si>
    <t>0607-080319-101-8</t>
  </si>
  <si>
    <t>73</t>
  </si>
  <si>
    <t>ANA MARISOL DOMINGUEZ</t>
  </si>
  <si>
    <t>FINAL CALLE LA MASCOTA. EDIFICIO SUNSET PLAZA</t>
  </si>
  <si>
    <t>175188-9</t>
  </si>
  <si>
    <t>0511-260970-101-4</t>
  </si>
  <si>
    <t>|</t>
  </si>
  <si>
    <t>74</t>
  </si>
  <si>
    <t>CALLE RUBEN DARIO Y 11 AV SUR #208</t>
  </si>
  <si>
    <t>75852-3</t>
  </si>
  <si>
    <t>0614-210993-103-0</t>
  </si>
  <si>
    <t>75</t>
  </si>
  <si>
    <t>Nery Ivan Carballo Hidalgo</t>
  </si>
  <si>
    <t>Actividades de Contabilidad</t>
  </si>
  <si>
    <t>292363-3</t>
  </si>
  <si>
    <t>0810-030993-101-0</t>
  </si>
  <si>
    <t>76</t>
  </si>
  <si>
    <t>San Francisco Chinam</t>
  </si>
  <si>
    <t>La Paz</t>
  </si>
  <si>
    <t>Restaurante</t>
  </si>
  <si>
    <t>303241-6</t>
  </si>
  <si>
    <t>0614-190521-108-5</t>
  </si>
  <si>
    <t>77</t>
  </si>
  <si>
    <t>Berlin</t>
  </si>
  <si>
    <t>Usulutan</t>
  </si>
  <si>
    <t>Fabricacion y Envasado de Agua</t>
  </si>
  <si>
    <t>205678-0</t>
  </si>
  <si>
    <t>0614-291010-105-7</t>
  </si>
  <si>
    <t>040020</t>
  </si>
  <si>
    <t>OMAR TURCIOS</t>
  </si>
  <si>
    <t>Hoteles</t>
  </si>
  <si>
    <t>174799-5</t>
  </si>
  <si>
    <t>0614-210906-101-9</t>
  </si>
  <si>
    <t>030001</t>
  </si>
  <si>
    <t>WACCESORIOS</t>
  </si>
  <si>
    <t>030002</t>
  </si>
  <si>
    <t>PRINTER</t>
  </si>
  <si>
    <t>040002</t>
  </si>
  <si>
    <t>Seguridad Hillside</t>
  </si>
  <si>
    <t>040003</t>
  </si>
  <si>
    <t>MARISOL ESTRADA</t>
  </si>
  <si>
    <t>UNICOMER</t>
  </si>
  <si>
    <t>SS</t>
  </si>
  <si>
    <t>020003</t>
  </si>
  <si>
    <t>Gerardo Pascual</t>
  </si>
  <si>
    <t>020005</t>
  </si>
  <si>
    <t>Ana Patricia</t>
  </si>
  <si>
    <t>020006</t>
  </si>
  <si>
    <t>Roberto Bukele</t>
  </si>
  <si>
    <t>060001</t>
  </si>
  <si>
    <t>Blanca Moralez</t>
  </si>
  <si>
    <t>050002</t>
  </si>
  <si>
    <t>Sr. Toloza</t>
  </si>
  <si>
    <t>040009</t>
  </si>
  <si>
    <t>Mantenimiento Edificio Sunset</t>
  </si>
  <si>
    <t>020007</t>
  </si>
  <si>
    <t>Ana Bukele</t>
  </si>
  <si>
    <t>040014</t>
  </si>
  <si>
    <t>Don Ovidio</t>
  </si>
  <si>
    <t>050005</t>
  </si>
  <si>
    <t>Carlos Delgado</t>
  </si>
  <si>
    <t>040012</t>
  </si>
  <si>
    <t>MAQUILISHUAT</t>
  </si>
  <si>
    <t>Kevin Alonso Luna Figueroa</t>
  </si>
  <si>
    <t>Venta al por menor de otros productos NCP</t>
  </si>
  <si>
    <t>290814-4</t>
  </si>
  <si>
    <t>0210-130394-101-9</t>
  </si>
  <si>
    <t>CARLOS GERARDO FLORES BOJORQUEZ</t>
  </si>
  <si>
    <t>142732-6</t>
  </si>
  <si>
    <t>62117815-1</t>
  </si>
  <si>
    <t>050008</t>
  </si>
  <si>
    <t>PROQUIDECA</t>
  </si>
  <si>
    <t>ACTIVIDADES DE CONSULTORIA</t>
  </si>
  <si>
    <t>289999-4</t>
  </si>
  <si>
    <t>0614-152020-102-0</t>
  </si>
  <si>
    <t>0614</t>
  </si>
  <si>
    <t>9300</t>
  </si>
  <si>
    <t>EL SALVADOR</t>
  </si>
  <si>
    <t>Antiguo Cuscatlan</t>
  </si>
  <si>
    <t>294403-0</t>
  </si>
  <si>
    <t>0614-090320-112-4</t>
  </si>
  <si>
    <t>VENTA DE OTROS PRODUCTOS</t>
  </si>
  <si>
    <t>189653-6</t>
  </si>
  <si>
    <t>0614-110708-104-0</t>
  </si>
  <si>
    <t>BASILICO SA DE CV</t>
  </si>
  <si>
    <t>C.C. BAMBU ZONA ROSA</t>
  </si>
  <si>
    <t>RESTAURANTE</t>
  </si>
  <si>
    <t>252172-7</t>
  </si>
  <si>
    <t>0614-180716-101-0</t>
  </si>
  <si>
    <t>060007</t>
  </si>
  <si>
    <t>PUBLICIDAD</t>
  </si>
  <si>
    <t>040018</t>
  </si>
  <si>
    <t>Adriana Valeria Martinez Escalante</t>
  </si>
  <si>
    <t>San Martin</t>
  </si>
  <si>
    <t>303228-5</t>
  </si>
  <si>
    <t>0614-050501-149-8</t>
  </si>
  <si>
    <t>050011</t>
  </si>
  <si>
    <t>Actividades de Consultoria</t>
  </si>
  <si>
    <t>161917-1</t>
  </si>
  <si>
    <t>0614-231204-101-5</t>
  </si>
  <si>
    <t>03</t>
  </si>
  <si>
    <t>040005</t>
  </si>
  <si>
    <t>ROBERTO JAIME FRANCISCO LLACH HILL</t>
  </si>
  <si>
    <t>22082-5</t>
  </si>
  <si>
    <t>0614-180940-002-0</t>
  </si>
  <si>
    <t>060009</t>
  </si>
  <si>
    <t>Tienda Ashllie</t>
  </si>
  <si>
    <t>Cerca de Lumitec</t>
  </si>
  <si>
    <t>040025</t>
  </si>
  <si>
    <t>Envios y Entregas Urgentes de El Salvador SA de CV</t>
  </si>
  <si>
    <t>260887-7</t>
  </si>
  <si>
    <t>0614-250217-106-3</t>
  </si>
  <si>
    <t>040027</t>
  </si>
  <si>
    <t>ALINKA SA DE CV</t>
  </si>
  <si>
    <t>274875-7</t>
  </si>
  <si>
    <t>0614-121118-103-0</t>
  </si>
  <si>
    <t>040030</t>
  </si>
  <si>
    <t>HENRY EDUARDO URRUTIA SANCHEZ</t>
  </si>
  <si>
    <t>VENTA AL POR MAYOR DE AGUA PURIFICADA</t>
  </si>
  <si>
    <t>303759-0</t>
  </si>
  <si>
    <t>0614-170780-126-8</t>
  </si>
  <si>
    <t>090009</t>
  </si>
  <si>
    <t>CHICO´S RESTAURANT</t>
  </si>
  <si>
    <t>301046-5</t>
  </si>
  <si>
    <t>0607-170221-101-4</t>
  </si>
  <si>
    <t>040035</t>
  </si>
  <si>
    <t>GERMAN JOSE GARCIA</t>
  </si>
  <si>
    <t>060030</t>
  </si>
  <si>
    <t>Maria del Carmen Cruz Garcia</t>
  </si>
  <si>
    <t>San Fco Chinameca</t>
  </si>
  <si>
    <t>301926-7</t>
  </si>
  <si>
    <t>0809-310871-101-6</t>
  </si>
  <si>
    <t>040031</t>
  </si>
  <si>
    <t>THE GREEN GARNER SA DE CV</t>
  </si>
  <si>
    <t>VENTA DE PRODUCTOS</t>
  </si>
  <si>
    <t>245474-4</t>
  </si>
  <si>
    <t>0614-051115-103-6</t>
  </si>
  <si>
    <t>030015</t>
  </si>
  <si>
    <t>TIENDA LA ESQUINITA</t>
  </si>
  <si>
    <t>75 AV</t>
  </si>
  <si>
    <t>010017</t>
  </si>
  <si>
    <t>BORIS GERARDO VILLANUEVA ESCOBAR</t>
  </si>
  <si>
    <t>VENTA DE PARTES PARA VEHICULO</t>
  </si>
  <si>
    <t>291265-9</t>
  </si>
  <si>
    <t>0608-290895-104-0</t>
  </si>
  <si>
    <t>010015</t>
  </si>
  <si>
    <t>JOSE DANIEL VILLANUEVA ESCOBAR</t>
  </si>
  <si>
    <t>279110-6</t>
  </si>
  <si>
    <t>0608-290895-103-2</t>
  </si>
  <si>
    <t>030020</t>
  </si>
  <si>
    <t>VAIZA SA DE CV</t>
  </si>
  <si>
    <t>243791-6</t>
  </si>
  <si>
    <t>0614-190515-104-0</t>
  </si>
  <si>
    <t>040029</t>
  </si>
  <si>
    <t>WOW STORE SA DE CV</t>
  </si>
  <si>
    <t>248433-2</t>
  </si>
  <si>
    <t>0614-260216-104-9</t>
  </si>
  <si>
    <t>030018</t>
  </si>
  <si>
    <t>INMP SA DE CV</t>
  </si>
  <si>
    <t>SERVICIOS ODONTOLOGICOS</t>
  </si>
  <si>
    <t>206969-0</t>
  </si>
  <si>
    <t>0614-280111-112-6</t>
  </si>
  <si>
    <t>040016</t>
  </si>
  <si>
    <t>Mariscos Vladi</t>
  </si>
  <si>
    <t>040028</t>
  </si>
  <si>
    <t>CRIA DE GANADO</t>
  </si>
  <si>
    <t>47811-3</t>
  </si>
  <si>
    <t>0614-180582-001-3</t>
  </si>
  <si>
    <t>030009</t>
  </si>
  <si>
    <t>MARCOS SERRANO</t>
  </si>
  <si>
    <t>CERCA DE ROOTS</t>
  </si>
  <si>
    <t>050009</t>
  </si>
  <si>
    <t>KATTIA VANESSA PERALTA DE PEÑA</t>
  </si>
  <si>
    <t>PUPUSERIA</t>
  </si>
  <si>
    <t>271620-8</t>
  </si>
  <si>
    <t>9411-091283-101-7</t>
  </si>
  <si>
    <t>020018</t>
  </si>
  <si>
    <t>GLASTER SA DE CV</t>
  </si>
  <si>
    <t>JOYERIA</t>
  </si>
  <si>
    <t>149622-3</t>
  </si>
  <si>
    <t>0614-290403-105-5</t>
  </si>
  <si>
    <t>020019</t>
  </si>
  <si>
    <t>LA LIBERTAD</t>
  </si>
  <si>
    <t>INMOBILIARIA</t>
  </si>
  <si>
    <t>261780-0</t>
  </si>
  <si>
    <t>0614-180717-104-0</t>
  </si>
  <si>
    <t>030019</t>
  </si>
  <si>
    <t>GBJ INVERSIONES SA DE CV</t>
  </si>
  <si>
    <t>304230-0</t>
  </si>
  <si>
    <t>0614-260521-108-0</t>
  </si>
  <si>
    <t>030021</t>
  </si>
  <si>
    <t>306888-2</t>
  </si>
  <si>
    <t>0614-250921-101-0</t>
  </si>
  <si>
    <t>030025</t>
  </si>
  <si>
    <t>Katherine Liseth Arriaza Requeno</t>
  </si>
  <si>
    <t>Actividades Economicas</t>
  </si>
  <si>
    <t>298029-1</t>
  </si>
  <si>
    <t>0614-200190-132-0</t>
  </si>
  <si>
    <t>030029</t>
  </si>
  <si>
    <t>309983-4</t>
  </si>
  <si>
    <t>0614-291121-108-5</t>
  </si>
  <si>
    <t>040024</t>
  </si>
  <si>
    <t>YENNY ESMERALDA HERNANDEZ RODRIGUEZ</t>
  </si>
  <si>
    <t>198966-0</t>
  </si>
  <si>
    <t>0614-011186-102-0</t>
  </si>
  <si>
    <t>030012</t>
  </si>
  <si>
    <t>CALLE Y COLONIA LA MASCOTA</t>
  </si>
  <si>
    <t>SERVICIOS DE SEGURIDAD</t>
  </si>
  <si>
    <t>242630-2</t>
  </si>
  <si>
    <t>0604-230718-101-8</t>
  </si>
  <si>
    <t>050017</t>
  </si>
  <si>
    <t>Sandra Lorena Aleman de Lopez</t>
  </si>
  <si>
    <t>Apopa</t>
  </si>
  <si>
    <t>234273-3</t>
  </si>
  <si>
    <t>1122-221072-101-5</t>
  </si>
  <si>
    <t>050025</t>
  </si>
  <si>
    <t>Jose Navas</t>
  </si>
  <si>
    <t>050028</t>
  </si>
  <si>
    <t>39 Av norte y Prolongacion calle arce #2106</t>
  </si>
  <si>
    <t>97529-0</t>
  </si>
  <si>
    <t>0614-251196-103-4</t>
  </si>
  <si>
    <t>010010</t>
  </si>
  <si>
    <t>Victor Nicolas Guillen Alfaro</t>
  </si>
  <si>
    <t>112633-4</t>
  </si>
  <si>
    <t>0315-061071-101-7</t>
  </si>
  <si>
    <t>020012</t>
  </si>
  <si>
    <t>Maria Soledad Salinas de Martinez</t>
  </si>
  <si>
    <t>127354-1</t>
  </si>
  <si>
    <t>0210-130457-004-0</t>
  </si>
  <si>
    <t>0020013</t>
  </si>
  <si>
    <t>Maria Gabriela Ortiz Retana</t>
  </si>
  <si>
    <t>313512-9</t>
  </si>
  <si>
    <t>0109-300196-101-4</t>
  </si>
  <si>
    <t>060018</t>
  </si>
  <si>
    <t>DENISSE ARELY GARCIA MELGAR</t>
  </si>
  <si>
    <t>SERVICIOS DE ODONTOLOGIA</t>
  </si>
  <si>
    <t>301048-1</t>
  </si>
  <si>
    <t>0614-251002-111-9</t>
  </si>
  <si>
    <t>050010</t>
  </si>
  <si>
    <t>REYNA VASQUEZ (Cliente Mayoreo)</t>
  </si>
  <si>
    <t>MARSELLA</t>
  </si>
  <si>
    <t>020030</t>
  </si>
  <si>
    <t>SIAT SA DE CV</t>
  </si>
  <si>
    <t>AV CATALUÑA RE</t>
  </si>
  <si>
    <t>GESTION EN SERVICIOS</t>
  </si>
  <si>
    <t>150312-8</t>
  </si>
  <si>
    <t>0614-020703-103-6</t>
  </si>
  <si>
    <t>00000094</t>
  </si>
  <si>
    <t>232236-0</t>
  </si>
  <si>
    <t>0614-030414-104-0</t>
  </si>
  <si>
    <t>00000095</t>
  </si>
  <si>
    <t>259594-8</t>
  </si>
  <si>
    <t>0614-310317-103-0</t>
  </si>
  <si>
    <t>00000096</t>
  </si>
  <si>
    <t>219567-8</t>
  </si>
  <si>
    <t xml:space="preserve"> 061-412061-210-2</t>
  </si>
  <si>
    <t>00000097</t>
  </si>
  <si>
    <t>Final calle la mascota</t>
  </si>
  <si>
    <t>237158-9</t>
  </si>
  <si>
    <t>9447-081214-101-0</t>
  </si>
  <si>
    <t>00000098</t>
  </si>
  <si>
    <t>212111-7</t>
  </si>
  <si>
    <t>0614-210911-106-7</t>
  </si>
  <si>
    <t>00000099</t>
  </si>
  <si>
    <t>WILFREDO MARTINEZ CHINCHILLA</t>
  </si>
  <si>
    <t>95455-1</t>
  </si>
  <si>
    <t>0210-280362-007-2</t>
  </si>
  <si>
    <t>00000100</t>
  </si>
  <si>
    <t>278641-0</t>
  </si>
  <si>
    <t>0614-171118-105-3</t>
  </si>
  <si>
    <t>00000101</t>
  </si>
  <si>
    <t>Blvd. del Hipodromo Local 6-6BIS Col. San Benito #436-B S.S.</t>
  </si>
  <si>
    <t>273532-5</t>
  </si>
  <si>
    <t>0501-180818-101-0</t>
  </si>
  <si>
    <t>00000102</t>
  </si>
  <si>
    <t>Local L.B-5 L.B-6 Centro Comercial Small San Gabriel S.S.</t>
  </si>
  <si>
    <t>191248-2</t>
  </si>
  <si>
    <t>0614-121008-102-4</t>
  </si>
  <si>
    <t>00000103</t>
  </si>
  <si>
    <t>MICROFINANCIERA SOLIDARIA SOCIEDAD COOPERATIVA</t>
  </si>
  <si>
    <t>Blvd. Heroes Local CD Ed. los Heroes Nivel 11 S.S.</t>
  </si>
  <si>
    <t>313807-0</t>
  </si>
  <si>
    <t>0614-260322-105-3</t>
  </si>
  <si>
    <t>00000104</t>
  </si>
  <si>
    <t>ACTIVIDADES VARIAS</t>
  </si>
  <si>
    <t>287219-0</t>
  </si>
  <si>
    <t>0614-301019-106-5</t>
  </si>
  <si>
    <t>00000105</t>
  </si>
  <si>
    <t>DUGLAS A. SOLER</t>
  </si>
  <si>
    <t>Medicentro la Esperanza Ed. D No. 119 entre 25 Av. norte y 1 c.p. S.S.</t>
  </si>
  <si>
    <t>ORTOPEDA</t>
  </si>
  <si>
    <t>21810-3</t>
  </si>
  <si>
    <t>0614-020553-001-3</t>
  </si>
  <si>
    <t>193990-4</t>
  </si>
  <si>
    <t>ZENIA MARGARITA MEJIA DE DOMINGUEZ</t>
  </si>
  <si>
    <t>Calle Paseo General Escalon Local 5 Cond. Balam Quitze S.S.</t>
  </si>
  <si>
    <t>0614-280261-012-2</t>
  </si>
  <si>
    <t>00360150-4</t>
  </si>
  <si>
    <t>69200</t>
  </si>
  <si>
    <t>Actividades de contabilidad, teneduría de libros y auditoría; asesoramiento en materia de impuestos</t>
  </si>
  <si>
    <t>00000107</t>
  </si>
  <si>
    <t>ROCIO DEL CARMEN DE JIMENEZ</t>
  </si>
  <si>
    <t>210437-4</t>
  </si>
  <si>
    <t>0612-210070-124-1</t>
  </si>
  <si>
    <t>00000108</t>
  </si>
  <si>
    <t>ALISSON MELISSA LOPEZ ALEMAN</t>
  </si>
  <si>
    <t>318373-6</t>
  </si>
  <si>
    <t>05657403-1</t>
  </si>
  <si>
    <t>00000109</t>
  </si>
  <si>
    <t>EDSON MENDELSON ALAS NUÑEZ</t>
  </si>
  <si>
    <t>198069-5</t>
  </si>
  <si>
    <t>0614-031175-134-2</t>
  </si>
  <si>
    <t>00000110</t>
  </si>
  <si>
    <t>SANTA TECLA</t>
  </si>
  <si>
    <t>296910-7</t>
  </si>
  <si>
    <t>0601-081220-101-0</t>
  </si>
  <si>
    <t>00000111</t>
  </si>
  <si>
    <t>184811-9</t>
  </si>
  <si>
    <t>0614-190108-101-2</t>
  </si>
  <si>
    <t>00000112</t>
  </si>
  <si>
    <t>RAFAEL HERNAN CORTEZ SARAVIA</t>
  </si>
  <si>
    <t>207470-6</t>
  </si>
  <si>
    <t>0315-290366-101-7</t>
  </si>
  <si>
    <t>00000113</t>
  </si>
  <si>
    <t>DAVID CANAHUATI PINEDA</t>
  </si>
  <si>
    <t>4438-5</t>
  </si>
  <si>
    <t>0614-100366-104-3</t>
  </si>
  <si>
    <t>00000114</t>
  </si>
  <si>
    <t>MARIA ELENA RIVERA SANDOVAL</t>
  </si>
  <si>
    <t>4TA CASA 17AV. SUR #420 S.S.</t>
  </si>
  <si>
    <t>265526-9</t>
  </si>
  <si>
    <t>0614-191276-124-4</t>
  </si>
  <si>
    <t>00000115</t>
  </si>
  <si>
    <t>GABRIEL ALEJANDRO RIVAS CORNEJO</t>
  </si>
  <si>
    <t>292562-5</t>
  </si>
  <si>
    <t>0614-080902-104-0</t>
  </si>
  <si>
    <t>Precio Mayoristas (11-60)</t>
  </si>
  <si>
    <t>00000116</t>
  </si>
  <si>
    <t>210693-4</t>
  </si>
  <si>
    <t>0614-010811-104-4</t>
  </si>
  <si>
    <t>00000117</t>
  </si>
  <si>
    <t>157359-8</t>
  </si>
  <si>
    <t>0614-210604-102-5</t>
  </si>
  <si>
    <t>00000118</t>
  </si>
  <si>
    <t>172502-4</t>
  </si>
  <si>
    <t>0614-050606-102-2</t>
  </si>
  <si>
    <t>00000119</t>
  </si>
  <si>
    <t>2874725-7</t>
  </si>
  <si>
    <t>0614-261119-103-1</t>
  </si>
  <si>
    <t>00000120</t>
  </si>
  <si>
    <t>158593-6</t>
  </si>
  <si>
    <t>0614-080904-101-6</t>
  </si>
  <si>
    <t>00000121</t>
  </si>
  <si>
    <t>211640-5</t>
  </si>
  <si>
    <t>0614-010811-105-2</t>
  </si>
  <si>
    <t>00000122</t>
  </si>
  <si>
    <t>190425-9</t>
  </si>
  <si>
    <t>9450-160908-101-2</t>
  </si>
  <si>
    <t>00000123</t>
  </si>
  <si>
    <t>296766-1</t>
  </si>
  <si>
    <t>0614-021220-104-7</t>
  </si>
  <si>
    <t>00000124</t>
  </si>
  <si>
    <t>JOSUE VIDAL GOMEZ TARA</t>
  </si>
  <si>
    <t>205527-6</t>
  </si>
  <si>
    <t>0614-120680-104-7</t>
  </si>
  <si>
    <t>00000125</t>
  </si>
  <si>
    <t>CALE DEL MEDITERRANEO BLVR Y CO. LA SULTANA L-107 CENTRO DE OFIC. COLONIAL</t>
  </si>
  <si>
    <t>ANTIGUO CUSCATLAN</t>
  </si>
  <si>
    <t>RESTAURANTES</t>
  </si>
  <si>
    <t>184212-7</t>
  </si>
  <si>
    <t>0614-051007-107-5</t>
  </si>
  <si>
    <t>00000126</t>
  </si>
  <si>
    <t>MORATAYA AYALA FILADELFO</t>
  </si>
  <si>
    <t>94867-5</t>
  </si>
  <si>
    <t>00000127</t>
  </si>
  <si>
    <t>JAIME VLADIMIR NOVOA CACERES</t>
  </si>
  <si>
    <t>182095-2</t>
  </si>
  <si>
    <t>1007-200175-101-7</t>
  </si>
  <si>
    <t>00000128</t>
  </si>
  <si>
    <t>KEVIN ALEXANDER CANALES AREVALO</t>
  </si>
  <si>
    <t>275205-4</t>
  </si>
  <si>
    <t>0604-101191-104-8</t>
  </si>
  <si>
    <t>00000129</t>
  </si>
  <si>
    <t>KEVIN ARMANDO MINERO MELGAR</t>
  </si>
  <si>
    <t>301775-4</t>
  </si>
  <si>
    <t>0614-210197-135-0</t>
  </si>
  <si>
    <t>00000130</t>
  </si>
  <si>
    <t>JAIME GERSON MENDEZ MENDEZ</t>
  </si>
  <si>
    <t>204371-1</t>
  </si>
  <si>
    <t>0614-190175-118-2</t>
  </si>
  <si>
    <t>00000131</t>
  </si>
  <si>
    <t>288812-3</t>
  </si>
  <si>
    <t>0614-170120-105-6</t>
  </si>
  <si>
    <t>00000132</t>
  </si>
  <si>
    <t>AEROSOL</t>
  </si>
  <si>
    <t>00000133</t>
  </si>
  <si>
    <t>246494-9</t>
  </si>
  <si>
    <t>00000134</t>
  </si>
  <si>
    <t>250610-4</t>
  </si>
  <si>
    <t>0614-250516-102-6</t>
  </si>
  <si>
    <t>00000135</t>
  </si>
  <si>
    <t>JOSE MARIA MOLLINS</t>
  </si>
  <si>
    <t>00000136</t>
  </si>
  <si>
    <t>265318-6</t>
  </si>
  <si>
    <t>0614-280917-107-6</t>
  </si>
  <si>
    <t>00000137</t>
  </si>
  <si>
    <t>MANUEL MONTOYA</t>
  </si>
  <si>
    <t>00000138</t>
  </si>
  <si>
    <t>209108-0</t>
  </si>
  <si>
    <t>0614-120411-105-0</t>
  </si>
  <si>
    <t>00000139</t>
  </si>
  <si>
    <t>DOCTORA ELENA</t>
  </si>
  <si>
    <t>00000140</t>
  </si>
  <si>
    <t>GRUPO IBERIA</t>
  </si>
  <si>
    <t>00000141</t>
  </si>
  <si>
    <t>SRA MERIGIO</t>
  </si>
  <si>
    <t>00000142</t>
  </si>
  <si>
    <t>SEGURIDAD BALAN</t>
  </si>
  <si>
    <t>00000143</t>
  </si>
  <si>
    <t>JAIME ANDRES CARDONA</t>
  </si>
  <si>
    <t>295661-0</t>
  </si>
  <si>
    <t>0614-171089-113-0</t>
  </si>
  <si>
    <t>00000144</t>
  </si>
  <si>
    <t>MARIO ROPA</t>
  </si>
  <si>
    <t>00000145</t>
  </si>
  <si>
    <t>777</t>
  </si>
  <si>
    <t>00000146</t>
  </si>
  <si>
    <t>MAURICIO</t>
  </si>
  <si>
    <t>00000147</t>
  </si>
  <si>
    <t>ENMANUEL DE JESUS ORELLANA</t>
  </si>
  <si>
    <t>6294-4</t>
  </si>
  <si>
    <t>0821-010148-001-1</t>
  </si>
  <si>
    <t>00000148</t>
  </si>
  <si>
    <t>ROBERTO ZULETA</t>
  </si>
  <si>
    <t>00000149</t>
  </si>
  <si>
    <t>198445-1</t>
  </si>
  <si>
    <t>0614-221209-102-3</t>
  </si>
  <si>
    <t>00000150</t>
  </si>
  <si>
    <t>ANA ESPINOZA</t>
  </si>
  <si>
    <t>00000151</t>
  </si>
  <si>
    <t>144383-1</t>
  </si>
  <si>
    <t>0614-260802-103-6</t>
  </si>
  <si>
    <t>00000152</t>
  </si>
  <si>
    <t>252593-0</t>
  </si>
  <si>
    <t>0614-190816-101-1</t>
  </si>
  <si>
    <t>00000153</t>
  </si>
  <si>
    <t>ADMINISTRACION BALAN QUITZE</t>
  </si>
  <si>
    <t>00000154</t>
  </si>
  <si>
    <t>DON CESAR</t>
  </si>
  <si>
    <t>00000155</t>
  </si>
  <si>
    <t>265008-7</t>
  </si>
  <si>
    <t>0501-108111-710-1</t>
  </si>
  <si>
    <t>251488-4</t>
  </si>
  <si>
    <t>CARLOS MAURICIO MIRANDA RUBIO</t>
  </si>
  <si>
    <t>0805-150185-101-1</t>
  </si>
  <si>
    <t>69100</t>
  </si>
  <si>
    <t>Actividades jurídicas</t>
  </si>
  <si>
    <t>00000157</t>
  </si>
  <si>
    <t>CARWASH BROTHER</t>
  </si>
  <si>
    <t>00000158</t>
  </si>
  <si>
    <t>CLIENTE A4</t>
  </si>
  <si>
    <t>00000159</t>
  </si>
  <si>
    <t>RODRIGO PORTILLO</t>
  </si>
  <si>
    <t>00000160</t>
  </si>
  <si>
    <t>JUAN ANTONIO SEGURA</t>
  </si>
  <si>
    <t>00000161</t>
  </si>
  <si>
    <t>ANDRES PINEDA</t>
  </si>
  <si>
    <t>00000162</t>
  </si>
  <si>
    <t>CARO AGUILAR</t>
  </si>
  <si>
    <t>00000163</t>
  </si>
  <si>
    <t>DIANA ROQUE</t>
  </si>
  <si>
    <t>00000164</t>
  </si>
  <si>
    <t>DON EFRAIN</t>
  </si>
  <si>
    <t>00000165</t>
  </si>
  <si>
    <t>KARLA GABRIELA</t>
  </si>
  <si>
    <t>00000166</t>
  </si>
  <si>
    <t>CLIENTE DE SANTA ANITA</t>
  </si>
  <si>
    <t>00000167</t>
  </si>
  <si>
    <t>248537-3</t>
  </si>
  <si>
    <t>0614-070216-101-9</t>
  </si>
  <si>
    <t>00000168</t>
  </si>
  <si>
    <t>RODRIGO QUINTANILLA</t>
  </si>
  <si>
    <t>04</t>
  </si>
  <si>
    <t>00000169</t>
  </si>
  <si>
    <t>GRUPO ARISTA</t>
  </si>
  <si>
    <t>215571-4</t>
  </si>
  <si>
    <t>00000170</t>
  </si>
  <si>
    <t>RACING SPORT</t>
  </si>
  <si>
    <t>00000171</t>
  </si>
  <si>
    <t>PIZZA DIGUSTO</t>
  </si>
  <si>
    <t>00000172</t>
  </si>
  <si>
    <t>STALLIN PEÑA</t>
  </si>
  <si>
    <t>00000173</t>
  </si>
  <si>
    <t>MONICA ZELAYA</t>
  </si>
  <si>
    <t>00000174</t>
  </si>
  <si>
    <t>JUAN ANTONIO REYNOSA</t>
  </si>
  <si>
    <t>00000175</t>
  </si>
  <si>
    <t>151909-8</t>
  </si>
  <si>
    <t>0614-071103-104-7</t>
  </si>
  <si>
    <t>00000176</t>
  </si>
  <si>
    <t>TALLER</t>
  </si>
  <si>
    <t>00000177</t>
  </si>
  <si>
    <t>LUCEIRO</t>
  </si>
  <si>
    <t>00000178</t>
  </si>
  <si>
    <t>EDIFICIO 105</t>
  </si>
  <si>
    <t>00000179</t>
  </si>
  <si>
    <t>AVITAH</t>
  </si>
  <si>
    <t>322800-4</t>
  </si>
  <si>
    <t>DIANA MARIA BLANCO SANCHEZ</t>
  </si>
  <si>
    <t>04468380-8</t>
  </si>
  <si>
    <t>56101</t>
  </si>
  <si>
    <t>Restaurantes</t>
  </si>
  <si>
    <t>00000181</t>
  </si>
  <si>
    <t>LUCIANA MINIGIO</t>
  </si>
  <si>
    <t>00000182</t>
  </si>
  <si>
    <t>MORIS MORALES</t>
  </si>
  <si>
    <t>00000183</t>
  </si>
  <si>
    <t>DON MARIO</t>
  </si>
  <si>
    <t>00000184</t>
  </si>
  <si>
    <t>S.S.</t>
  </si>
  <si>
    <t>ACTIVIDADES VETERINARIAS</t>
  </si>
  <si>
    <t>319913-2</t>
  </si>
  <si>
    <t>0614-230922-110-0</t>
  </si>
  <si>
    <t>00000185</t>
  </si>
  <si>
    <t>DELMY GUADALUPE MARTINEZ DE BARAHONA</t>
  </si>
  <si>
    <t>300535-7</t>
  </si>
  <si>
    <t>0512-180882-126-8</t>
  </si>
  <si>
    <t>00000186</t>
  </si>
  <si>
    <t>STEVE WASHINTON</t>
  </si>
  <si>
    <t>00000187</t>
  </si>
  <si>
    <t>JOSE VIDAL VALLE HENRIQUEZ</t>
  </si>
  <si>
    <t>73979-0</t>
  </si>
  <si>
    <t>1408-300161-101-7</t>
  </si>
  <si>
    <t>00000188</t>
  </si>
  <si>
    <t>LORENA RIVERA</t>
  </si>
  <si>
    <t>00000189</t>
  </si>
  <si>
    <t>ACTIVIDADES DE PROGRAMACION</t>
  </si>
  <si>
    <t>259194-8</t>
  </si>
  <si>
    <t>00000190</t>
  </si>
  <si>
    <t>RENE CASTILLO</t>
  </si>
  <si>
    <t>00000191</t>
  </si>
  <si>
    <t>INGENIERO STANLEY (ECOSS)</t>
  </si>
  <si>
    <t>00000192</t>
  </si>
  <si>
    <t>TALLER SANTA ANITA</t>
  </si>
  <si>
    <t>00000193</t>
  </si>
  <si>
    <t>TALLER MONSERRAT</t>
  </si>
  <si>
    <t>00000194</t>
  </si>
  <si>
    <t>FAMILIA HERRERA</t>
  </si>
  <si>
    <t>00000195</t>
  </si>
  <si>
    <t>EL SALVADOR LEGAL LIMITADA DE C.V.</t>
  </si>
  <si>
    <t>229999-3</t>
  </si>
  <si>
    <t>0614-090114-101-9</t>
  </si>
  <si>
    <t>00000196</t>
  </si>
  <si>
    <t>DON EDUARDO</t>
  </si>
  <si>
    <t>00000197</t>
  </si>
  <si>
    <t>CALLE LA ARENERAL-20 CANTON LA JOYA</t>
  </si>
  <si>
    <t>VENTA POR MAYOR DE PRODUCTOS QUIMICOS</t>
  </si>
  <si>
    <t>140046-6</t>
  </si>
  <si>
    <t>0614-250501-106-7</t>
  </si>
  <si>
    <t>00000198</t>
  </si>
  <si>
    <t>CLIENTE AA GRUPO</t>
  </si>
  <si>
    <t>00000199</t>
  </si>
  <si>
    <t>POLIGONO 2 HACIENDA EL ANGEL 8</t>
  </si>
  <si>
    <t>VENTA DE ARTICULOS DE FERRETERIA</t>
  </si>
  <si>
    <t>278817-2</t>
  </si>
  <si>
    <t>0614-110419-101-5</t>
  </si>
  <si>
    <t>00000200</t>
  </si>
  <si>
    <t>3012928</t>
  </si>
  <si>
    <t>0614-260321-109-0</t>
  </si>
  <si>
    <t>00000201</t>
  </si>
  <si>
    <t>GABRIELA BARRETA</t>
  </si>
  <si>
    <t>00000202</t>
  </si>
  <si>
    <t>EDILBERTO ANTONIO CORTEZ</t>
  </si>
  <si>
    <t>RENTA INMOBILIARIO</t>
  </si>
  <si>
    <t>324461-9</t>
  </si>
  <si>
    <t>0445-62361 -   -</t>
  </si>
  <si>
    <t>00000203</t>
  </si>
  <si>
    <t>JAIME ARTURO MACHUCA MACHUCA</t>
  </si>
  <si>
    <t>99316-6</t>
  </si>
  <si>
    <t>00000204</t>
  </si>
  <si>
    <t>ANDRES GONZALEZ</t>
  </si>
  <si>
    <t>0</t>
  </si>
  <si>
    <t>00000205</t>
  </si>
  <si>
    <t>ARIANA GONZALEZ</t>
  </si>
  <si>
    <t>320685-6</t>
  </si>
  <si>
    <t>JOSE DANIEL SANTAMARIA NUÑES</t>
  </si>
  <si>
    <t>03961348-2</t>
  </si>
  <si>
    <t>00000207</t>
  </si>
  <si>
    <t>HACIENDA EL ANGEL</t>
  </si>
  <si>
    <t>186699-8</t>
  </si>
  <si>
    <t>0614-280408-104-7</t>
  </si>
  <si>
    <t>00000208</t>
  </si>
  <si>
    <t>DIANA KARLA</t>
  </si>
  <si>
    <t>00000209</t>
  </si>
  <si>
    <t>FAMILIA BARRIOS</t>
  </si>
  <si>
    <t>00000210</t>
  </si>
  <si>
    <t>JUAN JOSE ARGUELLO BUTTER</t>
  </si>
  <si>
    <t>CALLE 4PJE LAS ESTANCIAS URB. LA MASCOTA # 1</t>
  </si>
  <si>
    <t>3209640</t>
  </si>
  <si>
    <t>0501-34485 -   -</t>
  </si>
  <si>
    <t>00000211</t>
  </si>
  <si>
    <t>DIP ARENA (VECINO BLANCA)</t>
  </si>
  <si>
    <t>00000212</t>
  </si>
  <si>
    <t>CLIENTE DE LA M (AMIGO CRIS)</t>
  </si>
  <si>
    <t>00000213</t>
  </si>
  <si>
    <t>KARLA ESPINOSA</t>
  </si>
  <si>
    <t>00000214</t>
  </si>
  <si>
    <t>MANUEL EDUARDO UMANZOR JIMENEZ</t>
  </si>
  <si>
    <t>BARRIO LA CRUZ SAN MIGUEL</t>
  </si>
  <si>
    <t>SAN MIGUEL</t>
  </si>
  <si>
    <t>REP. DE EQUIPOS</t>
  </si>
  <si>
    <t>243551-0</t>
  </si>
  <si>
    <t>1217-050284-102-0</t>
  </si>
  <si>
    <t>00000215</t>
  </si>
  <si>
    <t>BOULEVARD DEL  HIPODROMO #626-2 COL. SAN BENITO</t>
  </si>
  <si>
    <t>VENTA DE MAQ. Y EQUIPO</t>
  </si>
  <si>
    <t>1865948</t>
  </si>
  <si>
    <t>00000216</t>
  </si>
  <si>
    <t>BROTHER RASING</t>
  </si>
  <si>
    <t>00000217</t>
  </si>
  <si>
    <t>MARIO SANCHEZ</t>
  </si>
  <si>
    <t>00000218</t>
  </si>
  <si>
    <t>CLIENTE TORRE KAIRO</t>
  </si>
  <si>
    <t>00000219</t>
  </si>
  <si>
    <t>Crr a NejapaNo.21 Complejo Ofibodegas PArcelacion el Angel</t>
  </si>
  <si>
    <t>Ventaq de Maquinaria y Equipo</t>
  </si>
  <si>
    <t>2363933</t>
  </si>
  <si>
    <t>0614-141014-105-6</t>
  </si>
  <si>
    <t>00000220</t>
  </si>
  <si>
    <t>Cristobal mides</t>
  </si>
  <si>
    <t>00000221</t>
  </si>
  <si>
    <t>AVENIDA CADIZ POL.15 COL. BELLO SAN JUAN</t>
  </si>
  <si>
    <t>296834-8</t>
  </si>
  <si>
    <t>0614-261120-101-0</t>
  </si>
  <si>
    <t>00000222</t>
  </si>
  <si>
    <t>BLOCK A URB. SANTA ELENA LOTE.6 PARQUE INDUSTRIAL COMERCIAL BOQUERON</t>
  </si>
  <si>
    <t>0614-040479-004-7</t>
  </si>
  <si>
    <t>00000223</t>
  </si>
  <si>
    <t>CENTRO COMERCIAL GALERIAS ESCALON L-15</t>
  </si>
  <si>
    <t>LAVADO Y LIMPIEZA</t>
  </si>
  <si>
    <t>5178-0</t>
  </si>
  <si>
    <t>0614-211178-001-8</t>
  </si>
  <si>
    <t>00000224</t>
  </si>
  <si>
    <t>164936-4</t>
  </si>
  <si>
    <t>0614-050505-101-5</t>
  </si>
  <si>
    <t>00000225</t>
  </si>
  <si>
    <t>S.S:</t>
  </si>
  <si>
    <t>275072-3</t>
  </si>
  <si>
    <t>0501-191118-101-0</t>
  </si>
  <si>
    <t>00000226</t>
  </si>
  <si>
    <t>LORENA MARGARITA SISNIEGA HERRERA</t>
  </si>
  <si>
    <t>S.S</t>
  </si>
  <si>
    <t>FABRICACION DE PAN</t>
  </si>
  <si>
    <t>3205045</t>
  </si>
  <si>
    <t>0364-39350 -   -</t>
  </si>
  <si>
    <t>00000227</t>
  </si>
  <si>
    <t>DON SALVADOR</t>
  </si>
  <si>
    <t>00000228</t>
  </si>
  <si>
    <t>CARLOS DELGADO</t>
  </si>
  <si>
    <t>253771-0</t>
  </si>
  <si>
    <t>SEBASTIAN JOSE LUNA MORE</t>
  </si>
  <si>
    <t>FABRICACION DE REPOSTERIA</t>
  </si>
  <si>
    <t>0614-120794-107-1</t>
  </si>
  <si>
    <t>10713</t>
  </si>
  <si>
    <t>Fabricación de repostería</t>
  </si>
  <si>
    <t>00000230</t>
  </si>
  <si>
    <t>ALIANZA FRANCESA</t>
  </si>
  <si>
    <t>S.A.</t>
  </si>
  <si>
    <t>00000231</t>
  </si>
  <si>
    <t>ANDREA LISSETTE QUIJADA DE SIBRIAN</t>
  </si>
  <si>
    <t>VENTA DE ACCESORIOS</t>
  </si>
  <si>
    <t>1154117</t>
  </si>
  <si>
    <t>0821-010773-101-0</t>
  </si>
  <si>
    <t>00000232</t>
  </si>
  <si>
    <t>4 AV. NTE BIS Y  5TA CALLE PTE URB CENTRO</t>
  </si>
  <si>
    <t>290430-0</t>
  </si>
  <si>
    <t>0614-310120-105-5</t>
  </si>
  <si>
    <t>00000233</t>
  </si>
  <si>
    <t>ACTIVIDADES QUIROPRACTICAS</t>
  </si>
  <si>
    <t>294502-2</t>
  </si>
  <si>
    <t>0614-171020-101-8</t>
  </si>
  <si>
    <t>00000234</t>
  </si>
  <si>
    <t>VENTA AL POR MENOR DE PRODUCTOS</t>
  </si>
  <si>
    <t>284190-4</t>
  </si>
  <si>
    <t>0614-150368-101-7</t>
  </si>
  <si>
    <t>00000235</t>
  </si>
  <si>
    <t>MISOL S.C. DE R.L.</t>
  </si>
  <si>
    <t>FARMACIA</t>
  </si>
  <si>
    <t>313807-5</t>
  </si>
  <si>
    <t>0614-260772-105-3</t>
  </si>
  <si>
    <t>00000236</t>
  </si>
  <si>
    <t>VENTA DE PARTES</t>
  </si>
  <si>
    <t>276822-4</t>
  </si>
  <si>
    <t>0614-250119-102-8</t>
  </si>
  <si>
    <t>00000237</t>
  </si>
  <si>
    <t>71 aV. NTE Y 3RA C. PTE COL. ESCALON # 3698</t>
  </si>
  <si>
    <t>322653-4</t>
  </si>
  <si>
    <t>0614-151222-102-0</t>
  </si>
  <si>
    <t>00000238</t>
  </si>
  <si>
    <t>7 CALLE PTE COL. ESCALON POR 2-11 # 4929</t>
  </si>
  <si>
    <t>330056-9</t>
  </si>
  <si>
    <t>0614-250423-109-8</t>
  </si>
  <si>
    <t>00000239</t>
  </si>
  <si>
    <t>MENFAR</t>
  </si>
  <si>
    <t>00000240</t>
  </si>
  <si>
    <t>DON TITO</t>
  </si>
  <si>
    <t>00000241</t>
  </si>
  <si>
    <t>DON ALGODON</t>
  </si>
  <si>
    <t>00000242</t>
  </si>
  <si>
    <t>Lic. Sanchez</t>
  </si>
  <si>
    <t>00000243</t>
  </si>
  <si>
    <t>CASA DEL POSTRE</t>
  </si>
  <si>
    <t>00000244</t>
  </si>
  <si>
    <t>HENRY ALEXANDER GONZALEZ MARTINEZ</t>
  </si>
  <si>
    <t>FABRICACION PAN Y GALLETAS</t>
  </si>
  <si>
    <t>00000245</t>
  </si>
  <si>
    <t>FARMA INDUSTRIA DE EL SALVADOR</t>
  </si>
  <si>
    <t>0614-020596-103-6</t>
  </si>
  <si>
    <t>00000246</t>
  </si>
  <si>
    <t>CARIDAD TATIANA GUANDIQUE DE GOMEZ</t>
  </si>
  <si>
    <t>0257-352347-</t>
  </si>
  <si>
    <t>0257-352347-   -</t>
  </si>
  <si>
    <t>00000248</t>
  </si>
  <si>
    <t>DAVID ANTONIO PINEDA LAZO</t>
  </si>
  <si>
    <t>Venta al por menor de alimentos</t>
  </si>
  <si>
    <t>315425-4</t>
  </si>
  <si>
    <t>0614-130895-106-0</t>
  </si>
  <si>
    <t>00000249</t>
  </si>
  <si>
    <t>260498-4</t>
  </si>
  <si>
    <t>0614-240517-104-0</t>
  </si>
  <si>
    <t>00000250</t>
  </si>
  <si>
    <t>GRUPO J &amp; M. S.A. de C.V.</t>
  </si>
  <si>
    <t>s.s.</t>
  </si>
  <si>
    <t>268659-3</t>
  </si>
  <si>
    <t>1217-260218-115-</t>
  </si>
  <si>
    <t>00000251</t>
  </si>
  <si>
    <t>Blvr Oriente ofibodega Apopa lote 4</t>
  </si>
  <si>
    <t>Servicios Administrativos</t>
  </si>
  <si>
    <t>328491-0</t>
  </si>
  <si>
    <t>0614-170523-101-4</t>
  </si>
  <si>
    <t>313904-6</t>
  </si>
  <si>
    <t>00000253</t>
  </si>
  <si>
    <t>ENSEÑANZA FORMAL</t>
  </si>
  <si>
    <t>257364-9</t>
  </si>
  <si>
    <t>0614-061216-111-7</t>
  </si>
  <si>
    <t>00000254</t>
  </si>
  <si>
    <t>NATHALY JAZMIN MENA ARAUZ</t>
  </si>
  <si>
    <t>SERVICIO DE ODONTOLOGIA</t>
  </si>
  <si>
    <t>313803-8</t>
  </si>
  <si>
    <t>0614-270872-172-7</t>
  </si>
  <si>
    <t>00000255</t>
  </si>
  <si>
    <t>FUNDAMIDES</t>
  </si>
  <si>
    <t>00000256</t>
  </si>
  <si>
    <t>IRENE GUADALUPE CALDERON PINEDA</t>
  </si>
  <si>
    <t>SERVICION ODONTOLOGICOS</t>
  </si>
  <si>
    <t>2881131</t>
  </si>
  <si>
    <t>1109-130488-101-9</t>
  </si>
  <si>
    <t>00000257</t>
  </si>
  <si>
    <t>00000258</t>
  </si>
  <si>
    <t>MOORE ALFARO SHARON ELIZABETH</t>
  </si>
  <si>
    <t>VENTA DE PRODUCTOS TEXTILES</t>
  </si>
  <si>
    <t>125755-8</t>
  </si>
  <si>
    <t>0614-080560-001-4</t>
  </si>
  <si>
    <t>00000259</t>
  </si>
  <si>
    <t>FUNDACION FOA ALIMENTO</t>
  </si>
  <si>
    <t>ACTIV DE ASOCIACION</t>
  </si>
  <si>
    <t>267557-6</t>
  </si>
  <si>
    <t>0614-210215-101-3</t>
  </si>
  <si>
    <t>00000260</t>
  </si>
  <si>
    <t>GRACIA MARIA LEON DE HERNANDEZ</t>
  </si>
  <si>
    <t>300825-7</t>
  </si>
  <si>
    <t>0614-240297-103-7</t>
  </si>
  <si>
    <t>00000261</t>
  </si>
  <si>
    <t>ACADEMIA STAR</t>
  </si>
  <si>
    <t>057361-9</t>
  </si>
  <si>
    <t>00000262</t>
  </si>
  <si>
    <t>281094-6</t>
  </si>
  <si>
    <t>0614-280614-104-4</t>
  </si>
  <si>
    <t>00000263</t>
  </si>
  <si>
    <t>278439-0</t>
  </si>
  <si>
    <t>0614-190711-105-2</t>
  </si>
  <si>
    <t>00000264</t>
  </si>
  <si>
    <t>280666-9</t>
  </si>
  <si>
    <t>0614-      -   -</t>
  </si>
  <si>
    <t>00000265</t>
  </si>
  <si>
    <t>GABRIELA ELIZABETH NAVAS ESCALANTE</t>
  </si>
  <si>
    <t>TRANSPORTE DE CARGA</t>
  </si>
  <si>
    <t>312090-4</t>
  </si>
  <si>
    <t>0455-01619 -   -</t>
  </si>
  <si>
    <t>0455-01619</t>
  </si>
  <si>
    <t>00000266</t>
  </si>
  <si>
    <t>280128-4</t>
  </si>
  <si>
    <t>0614-040619-102-6</t>
  </si>
  <si>
    <t>00000268</t>
  </si>
  <si>
    <t>JONATHAN IVAN FLORES OCHOA</t>
  </si>
  <si>
    <t>05690254-3</t>
  </si>
  <si>
    <t>00000269</t>
  </si>
  <si>
    <t>LONG TERM EVOLUTION MOBILE GROUP</t>
  </si>
  <si>
    <t>49673-0</t>
  </si>
  <si>
    <t>1217-070316-101-0</t>
  </si>
  <si>
    <t>00000270</t>
  </si>
  <si>
    <t>JOSE ARMANDO MARQUEZ CARRANZA</t>
  </si>
  <si>
    <t>202205-1</t>
  </si>
  <si>
    <t>00000271</t>
  </si>
  <si>
    <t>GUILLERMO ANTONIO VELAZCO IRAHETA</t>
  </si>
  <si>
    <t>VENTAS</t>
  </si>
  <si>
    <t>130530-4</t>
  </si>
  <si>
    <t>0403-180377-101-0</t>
  </si>
  <si>
    <t>00000272</t>
  </si>
  <si>
    <t>RESTAUNTE</t>
  </si>
  <si>
    <t>179122-9</t>
  </si>
  <si>
    <t>0614-170407-110-2</t>
  </si>
  <si>
    <t>00000273</t>
  </si>
  <si>
    <t>COLONIA Y CALLE LA MASCOTA Y 29 AV. SUR</t>
  </si>
  <si>
    <t>167706-0</t>
  </si>
  <si>
    <t>0619-290905-101-2</t>
  </si>
  <si>
    <t>00000274</t>
  </si>
  <si>
    <t>Katy Grande</t>
  </si>
  <si>
    <t>11010101</t>
  </si>
  <si>
    <t>AUXILIAR1</t>
  </si>
  <si>
    <t>00000275</t>
  </si>
  <si>
    <t>ESTUDIOS DOBLE V, S.A. DE C.V.</t>
  </si>
  <si>
    <t>32997-5</t>
  </si>
  <si>
    <t>0614-230192-101-3</t>
  </si>
  <si>
    <t>00000276</t>
  </si>
  <si>
    <t>JULIO VELASQUEZ</t>
  </si>
  <si>
    <t>00000277</t>
  </si>
  <si>
    <t>342285-1</t>
  </si>
  <si>
    <t>0614-160424-102-7</t>
  </si>
  <si>
    <t>AUXILIAR2</t>
  </si>
  <si>
    <t>00000278</t>
  </si>
  <si>
    <t>PREFABRICADOS Y TECNOLOGIA, S.A. DE C.V.</t>
  </si>
  <si>
    <t>162838-9</t>
  </si>
  <si>
    <t>0614-041204-103-6</t>
  </si>
  <si>
    <t>00000280</t>
  </si>
  <si>
    <t>283497-2</t>
  </si>
  <si>
    <t>0614-290819-104-9</t>
  </si>
  <si>
    <t>00000281</t>
  </si>
  <si>
    <t>Antiguo Cuscatlán</t>
  </si>
  <si>
    <t>256671-2</t>
  </si>
  <si>
    <t>0614-221216-106-4</t>
  </si>
  <si>
    <t>05</t>
  </si>
  <si>
    <t>0501</t>
  </si>
  <si>
    <t>00000282</t>
  </si>
  <si>
    <t>JULIO REALEGUEÑO</t>
  </si>
  <si>
    <t>Colón</t>
  </si>
  <si>
    <t>0503</t>
  </si>
  <si>
    <t>00000283</t>
  </si>
  <si>
    <t>ASOCIACION COMUNAL DE DESARROLLO RES QUINTAS SAN AGUSTIN</t>
  </si>
  <si>
    <t>0503-060719-101-2</t>
  </si>
  <si>
    <t>00000284</t>
  </si>
  <si>
    <t>314921-0</t>
  </si>
  <si>
    <t>0614-190422-101-0</t>
  </si>
  <si>
    <t>00000285</t>
  </si>
  <si>
    <t>213095-3</t>
  </si>
  <si>
    <t>0614-051211-101-5</t>
  </si>
  <si>
    <t>00000286</t>
  </si>
  <si>
    <t>CONSULTORIA EN RIESGO DE SEGURO S.A. DE C.V.</t>
  </si>
  <si>
    <t>235785-3</t>
  </si>
  <si>
    <t>0614-020914-106-8</t>
  </si>
  <si>
    <t>00000287</t>
  </si>
  <si>
    <t>AGRO IRIS EL SALVADOR, S.A. DE C.V.</t>
  </si>
  <si>
    <t>241607-1</t>
  </si>
  <si>
    <t>0614-200515-106-7</t>
  </si>
  <si>
    <t>00000288</t>
  </si>
  <si>
    <t>COMERCIALIZADORA CENTROAMERICANA DE EL SALVADOR, S.A. DE.C.V.</t>
  </si>
  <si>
    <t>221194-3</t>
  </si>
  <si>
    <t>0614-090911-102-0</t>
  </si>
  <si>
    <t>00000289</t>
  </si>
  <si>
    <t>HERBERTH ALEXANDER CERRITOS SANCHEZ</t>
  </si>
  <si>
    <t>280100-0</t>
  </si>
  <si>
    <t>0614-291295-139-2</t>
  </si>
  <si>
    <t>00000290</t>
  </si>
  <si>
    <t>22676-9</t>
  </si>
  <si>
    <t>0614-201290-104-7</t>
  </si>
  <si>
    <t>00000291</t>
  </si>
  <si>
    <t>TORTAS DEL GORDO</t>
  </si>
  <si>
    <t>00000292</t>
  </si>
  <si>
    <t>ANA BARAHONA</t>
  </si>
  <si>
    <t>00000293</t>
  </si>
  <si>
    <t>ABIGAIL SANABRIA</t>
  </si>
  <si>
    <t>00000294</t>
  </si>
  <si>
    <t>CLIENTE PALO ALTO</t>
  </si>
  <si>
    <t>00000295</t>
  </si>
  <si>
    <t>GRUPO MOSKEM, S.A. DE C.V.</t>
  </si>
  <si>
    <t>340137-0</t>
  </si>
  <si>
    <t>0614-230124-108-0</t>
  </si>
  <si>
    <t>00000296</t>
  </si>
  <si>
    <t>CARLOS SIBRIAN</t>
  </si>
  <si>
    <t>00000297</t>
  </si>
  <si>
    <t>00000298</t>
  </si>
  <si>
    <t>ELENA YOLANDA LOPEZ ACOSTA</t>
  </si>
  <si>
    <t>COLON LA LIBERTAD|</t>
  </si>
  <si>
    <t>317229-9</t>
  </si>
  <si>
    <t>049467112-</t>
  </si>
  <si>
    <t>00000299</t>
  </si>
  <si>
    <t>CANALES &amp; SALMERON, S.A. DE C.V.</t>
  </si>
  <si>
    <t>270355-5</t>
  </si>
  <si>
    <t>1109-201017-101-0</t>
  </si>
  <si>
    <t>00000300</t>
  </si>
  <si>
    <t>ORELLANA DE PEÑA, ESTELA MARINA</t>
  </si>
  <si>
    <t>100730-0</t>
  </si>
  <si>
    <t>0614-200458-013-8</t>
  </si>
  <si>
    <t>00000301</t>
  </si>
  <si>
    <t>180715-8</t>
  </si>
  <si>
    <t>02031309-1</t>
  </si>
  <si>
    <t>331513-9</t>
  </si>
  <si>
    <t>0614-310523-114-5</t>
  </si>
  <si>
    <t>00000303</t>
  </si>
  <si>
    <t>ECO AGUA, S.A. DE C.V.</t>
  </si>
  <si>
    <t>174441-4</t>
  </si>
  <si>
    <t>0614-170806-108-0</t>
  </si>
  <si>
    <t>00000304</t>
  </si>
  <si>
    <t>MADRID PATZAN, CESAR HUMBERTO</t>
  </si>
  <si>
    <t>300160-3</t>
  </si>
  <si>
    <t>0607-090991-101-0</t>
  </si>
  <si>
    <t>00000305</t>
  </si>
  <si>
    <t>FERNANDO GRANADOS</t>
  </si>
  <si>
    <t>00000306</t>
  </si>
  <si>
    <t>CONDOMINIO AVITAT</t>
  </si>
  <si>
    <t>00000307</t>
  </si>
  <si>
    <t>VELASCO IRAHETA, GUILLERMO ANTONIO</t>
  </si>
  <si>
    <t>130850-4</t>
  </si>
  <si>
    <t>0905-181377-101-0</t>
  </si>
  <si>
    <t>00000308</t>
  </si>
  <si>
    <t>ENCARE TRAVEL, S.A. DE C.V.</t>
  </si>
  <si>
    <t>336873-8</t>
  </si>
  <si>
    <t>0614-231123-109-0</t>
  </si>
  <si>
    <t>00000309</t>
  </si>
  <si>
    <t>MAMA CHILA, S.A. DE C.V.</t>
  </si>
  <si>
    <t>230455-8</t>
  </si>
  <si>
    <t>0614-031013-108-1</t>
  </si>
  <si>
    <t>320946-8</t>
  </si>
  <si>
    <t>PUERTO AZUL, S.A. DE C.V.</t>
  </si>
  <si>
    <t>0614-200922-108-6</t>
  </si>
  <si>
    <t>Precio Normal</t>
  </si>
  <si>
    <t>56107</t>
  </si>
  <si>
    <t>Actividades varias de restaurantes</t>
  </si>
  <si>
    <t>0511</t>
  </si>
  <si>
    <t>00000311</t>
  </si>
  <si>
    <t>MOISES ADONAY ALVARADO VALLYOS</t>
  </si>
  <si>
    <t>296512-3</t>
  </si>
  <si>
    <t>0614-070190-129-9</t>
  </si>
  <si>
    <t>5425-9</t>
  </si>
  <si>
    <t>INGENIERIA Y TECNICA, S.A. DE C.V.</t>
  </si>
  <si>
    <t>Cl Los Bambues No R-10 Col San Francisco San Salvador - San Salvador.</t>
  </si>
  <si>
    <t>0614-191288-004-3</t>
  </si>
  <si>
    <t>314973-2</t>
  </si>
  <si>
    <t>LATINO AMERICANA IMPORTADORA FARMACEUTICA, S.A. DE C.V.</t>
  </si>
  <si>
    <t>0614-160522-105-4</t>
  </si>
  <si>
    <t>33151-3</t>
  </si>
  <si>
    <t>CONINCA ESA, S.A. DE C.V.</t>
  </si>
  <si>
    <t>00000315</t>
  </si>
  <si>
    <t>MARTIN PEÑA</t>
  </si>
  <si>
    <t>00000316</t>
  </si>
  <si>
    <t>SEÑORA MELARA</t>
  </si>
  <si>
    <t>00000317</t>
  </si>
  <si>
    <t>ISABELA DE PAREDES</t>
  </si>
  <si>
    <t>00000318</t>
  </si>
  <si>
    <t>EDUARDO LLOVERA</t>
  </si>
  <si>
    <t>00000319</t>
  </si>
  <si>
    <t>GRUPO LUBRICANTES SOLRZANO, S.A. DE C.V.</t>
  </si>
  <si>
    <t>309609-0</t>
  </si>
  <si>
    <t>0501-161121-101-5</t>
  </si>
  <si>
    <t>00000320</t>
  </si>
  <si>
    <t>FUNDACION REBE</t>
  </si>
  <si>
    <t>00000321</t>
  </si>
  <si>
    <t>GLOSS, S.A. DE C.V.</t>
  </si>
  <si>
    <t>250666-9</t>
  </si>
  <si>
    <t>0614-210116-110-3</t>
  </si>
  <si>
    <t>00000322</t>
  </si>
  <si>
    <t>WILLIAM ALBEÑO</t>
  </si>
  <si>
    <t>00000323</t>
  </si>
  <si>
    <t>FERREIRO K, KOKI ROBERTO</t>
  </si>
  <si>
    <t>344119-2</t>
  </si>
  <si>
    <t>04180246-1</t>
  </si>
  <si>
    <t>00000324</t>
  </si>
  <si>
    <t>GUERRA MARQUEZ, PEDRO JOSE</t>
  </si>
  <si>
    <t>348063-2</t>
  </si>
  <si>
    <t>05295328-3</t>
  </si>
  <si>
    <t>00000325</t>
  </si>
  <si>
    <t>PEÑA ORELLANA, DIEGO MANUEL ALBERTO</t>
  </si>
  <si>
    <t>233206-3</t>
  </si>
  <si>
    <t>03893106-3</t>
  </si>
  <si>
    <t>00000326</t>
  </si>
  <si>
    <t>RAV</t>
  </si>
  <si>
    <t>00000327</t>
  </si>
  <si>
    <t>JENNIFER LINARES PORTILLO</t>
  </si>
  <si>
    <t>336860-4</t>
  </si>
  <si>
    <t>05440468-8</t>
  </si>
  <si>
    <t>00000328</t>
  </si>
  <si>
    <t>SENDERO OPICO</t>
  </si>
  <si>
    <t>00000329</t>
  </si>
  <si>
    <t>JOSE ALONSO JIMENEZ XOLALPA</t>
  </si>
  <si>
    <t>322344-3</t>
  </si>
  <si>
    <t>9600-020479-101-0</t>
  </si>
  <si>
    <t>00000330</t>
  </si>
  <si>
    <t>330717-0</t>
  </si>
  <si>
    <t>0614-200623-104-8</t>
  </si>
  <si>
    <t>QUIRO PRAXIA INKA, S.A. DE C.V.</t>
  </si>
  <si>
    <t>00000331</t>
  </si>
  <si>
    <t>MIGUEL MENDEZ</t>
  </si>
  <si>
    <t>00000332</t>
  </si>
  <si>
    <t>CARLOS ALFARO</t>
  </si>
  <si>
    <t>id_venta</t>
  </si>
  <si>
    <t>prefijo</t>
  </si>
  <si>
    <t>numero_comprobante</t>
  </si>
  <si>
    <t>tipo_comprobante</t>
  </si>
  <si>
    <t>fecha_comprobante</t>
  </si>
  <si>
    <t>nombre_cliente</t>
  </si>
  <si>
    <t>direccion_cliente</t>
  </si>
  <si>
    <t>fecha_vencimiento</t>
  </si>
  <si>
    <t>num_pedido</t>
  </si>
  <si>
    <t>tipo_venta</t>
  </si>
  <si>
    <t>venta_titulo</t>
  </si>
  <si>
    <t>descto</t>
  </si>
  <si>
    <t>notas_remision</t>
  </si>
  <si>
    <t>valor_descuento</t>
  </si>
  <si>
    <t>venta_afecta</t>
  </si>
  <si>
    <t>venta_exenta</t>
  </si>
  <si>
    <t>venta_nosujeta</t>
  </si>
  <si>
    <t>valor_iva</t>
  </si>
  <si>
    <t>total_comprobante</t>
  </si>
  <si>
    <t>per_ret</t>
  </si>
  <si>
    <t>anulado</t>
  </si>
  <si>
    <t>fecha_cancelacion</t>
  </si>
  <si>
    <t>id_venta_nc</t>
  </si>
  <si>
    <t>id_bodega</t>
  </si>
  <si>
    <t>id_punto</t>
  </si>
  <si>
    <t>id_sucursal</t>
  </si>
  <si>
    <t>valor_iva2</t>
  </si>
  <si>
    <t>tipo_factura</t>
  </si>
  <si>
    <t>id_origen</t>
  </si>
  <si>
    <t>valor_cesc</t>
  </si>
  <si>
    <t>id_costo</t>
  </si>
  <si>
    <t>id_tienda</t>
  </si>
  <si>
    <t>nombre_tienda</t>
  </si>
  <si>
    <t>valor_efectivo</t>
  </si>
  <si>
    <t>num_nota_remision</t>
  </si>
  <si>
    <t>valor_cuenta_ajena</t>
  </si>
  <si>
    <t>desc1_cuenta_ajena</t>
  </si>
  <si>
    <t>desc2_cuenta_ajena</t>
  </si>
  <si>
    <t>desc3_cuenta_ajena</t>
  </si>
  <si>
    <t>desc4_cuenta_ajena</t>
  </si>
  <si>
    <t>numero_anticipo</t>
  </si>
  <si>
    <t>fecha_pago</t>
  </si>
  <si>
    <t>total_pago</t>
  </si>
  <si>
    <t>valor_anticipo</t>
  </si>
  <si>
    <t>resolucion</t>
  </si>
  <si>
    <t>tipo_exportacion</t>
  </si>
  <si>
    <t>pre_impreso_desde</t>
  </si>
  <si>
    <t>pre_impreso_hasta</t>
  </si>
  <si>
    <t>nombre_proyecto</t>
  </si>
  <si>
    <t>numerocontrol</t>
  </si>
  <si>
    <t>codigogeneracion</t>
  </si>
  <si>
    <t>ventatercero_nit</t>
  </si>
  <si>
    <t>ventatercero_nombre</t>
  </si>
  <si>
    <t>total_enletras</t>
  </si>
  <si>
    <t>cod_formapago1dte</t>
  </si>
  <si>
    <t>cod_formapago2dte</t>
  </si>
  <si>
    <t>monto_formapago1dte</t>
  </si>
  <si>
    <t>monto_formapago2dte</t>
  </si>
  <si>
    <t>codigo_generacion</t>
  </si>
  <si>
    <t>numero_control</t>
  </si>
  <si>
    <t>sellorecepcion</t>
  </si>
  <si>
    <t>fecharecepcion</t>
  </si>
  <si>
    <t>observacionesfel</t>
  </si>
  <si>
    <t>estado_fel</t>
  </si>
  <si>
    <t>recinto_fiscal</t>
  </si>
  <si>
    <t>regimen</t>
  </si>
  <si>
    <t>transporte</t>
  </si>
  <si>
    <t>incoterms</t>
  </si>
  <si>
    <t>valor_renta</t>
  </si>
  <si>
    <t>incoterm</t>
  </si>
  <si>
    <t>bultos</t>
  </si>
  <si>
    <t>peso_neto</t>
  </si>
  <si>
    <t>peso_bruto</t>
  </si>
  <si>
    <t>origen</t>
  </si>
  <si>
    <t>observaciones</t>
  </si>
  <si>
    <t>motorista</t>
  </si>
  <si>
    <t>orden_compra_ext</t>
  </si>
  <si>
    <t>cod_producto</t>
  </si>
  <si>
    <t>tipo_precio</t>
  </si>
  <si>
    <t>cantidad</t>
  </si>
  <si>
    <t>descripcion</t>
  </si>
  <si>
    <t>precio_venta</t>
  </si>
  <si>
    <t>descuento</t>
  </si>
  <si>
    <t>precio_unitario</t>
  </si>
  <si>
    <t>venta_neta</t>
  </si>
  <si>
    <t>id_unidad</t>
  </si>
  <si>
    <t>cantidad_umd</t>
  </si>
  <si>
    <t>linea_item</t>
  </si>
  <si>
    <t>PREFIJO VENTAS FACTURA</t>
  </si>
  <si>
    <t>Código Vendedor</t>
  </si>
  <si>
    <t>Jefe de Ventas</t>
  </si>
  <si>
    <t>Kuali 1</t>
  </si>
  <si>
    <t>Kuali 2</t>
  </si>
  <si>
    <t>08</t>
  </si>
  <si>
    <t>Oficina</t>
  </si>
  <si>
    <t>09</t>
  </si>
  <si>
    <t>San Miguel</t>
  </si>
  <si>
    <t>Consumo</t>
  </si>
  <si>
    <t>Merma</t>
  </si>
  <si>
    <t>Cortesias</t>
  </si>
  <si>
    <t>Gravada</t>
  </si>
  <si>
    <t>Contado</t>
  </si>
  <si>
    <t>Credito</t>
  </si>
  <si>
    <t>Tarjeta</t>
  </si>
  <si>
    <t>Facturas</t>
  </si>
  <si>
    <t>Credito Fiscal</t>
  </si>
  <si>
    <t>PT G+L001</t>
  </si>
  <si>
    <t>Garrafon</t>
  </si>
  <si>
    <t>PT 5001</t>
  </si>
  <si>
    <t xml:space="preserve">PT 5002 </t>
  </si>
  <si>
    <t>tipo_precio 1</t>
  </si>
  <si>
    <t>tipo_precio 3</t>
  </si>
  <si>
    <t>tipo_precio 2</t>
  </si>
  <si>
    <t>tipo_precio 4</t>
  </si>
  <si>
    <t>tipo_precio 5</t>
  </si>
  <si>
    <t>tipo_precio 6</t>
  </si>
  <si>
    <t>tipo_precio 7</t>
  </si>
  <si>
    <t>Pet 500 ml  (Agua)</t>
  </si>
  <si>
    <t>CAJA PET 500ML 12 UDS</t>
  </si>
  <si>
    <t>CCF</t>
  </si>
  <si>
    <t>FAC</t>
  </si>
  <si>
    <t>PRECIOS</t>
  </si>
  <si>
    <t>GARRAFON</t>
  </si>
  <si>
    <t>PET</t>
  </si>
  <si>
    <t>BOTONES INTERACTIVOS</t>
  </si>
  <si>
    <t>005000</t>
  </si>
  <si>
    <t>02143530-9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</si>
  <si>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</si>
  <si>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</si>
  <si>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</si>
  <si>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</si>
  <si>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</si>
  <si>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</si>
  <si>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</si>
  <si>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</si>
  <si>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</si>
  <si>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</si>
  <si>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</si>
  <si>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</si>
  <si>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</si>
  <si>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</si>
  <si>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</si>
  <si>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</si>
  <si>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</si>
  <si>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</si>
  <si>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</si>
  <si>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</si>
  <si>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</si>
  <si>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</si>
  <si>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</si>
  <si>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00000333</t>
  </si>
  <si>
    <t>ECOSOLIDOS, S.A. DE C.V.</t>
  </si>
  <si>
    <t>0614-300919-106-0</t>
  </si>
  <si>
    <t>285848-7</t>
  </si>
  <si>
    <t>1102010110</t>
  </si>
  <si>
    <t>00000334</t>
  </si>
  <si>
    <t>INNOVA CORP., S.A. DE C.V.</t>
  </si>
  <si>
    <t>0614-300322-102-1</t>
  </si>
  <si>
    <t>313434-3</t>
  </si>
  <si>
    <t>00000335</t>
  </si>
  <si>
    <t>ASOCIACION COOPERATIVA DE AHORRO Y CREDITO</t>
  </si>
  <si>
    <t>0509-280599-101-1</t>
  </si>
  <si>
    <t>114609-2</t>
  </si>
  <si>
    <t>00000336</t>
  </si>
  <si>
    <t>LUNA FIGUEROA, KATHERINE PATRICIA</t>
  </si>
  <si>
    <t>335294-0</t>
  </si>
  <si>
    <t>PLAZA MALTA</t>
  </si>
  <si>
    <t>05548452-6</t>
  </si>
  <si>
    <t>00000337</t>
  </si>
  <si>
    <t>MINITIENDA.COM, S.A. DE C.V.</t>
  </si>
  <si>
    <t>0614-310120-107-1</t>
  </si>
  <si>
    <t>293033-7</t>
  </si>
  <si>
    <t>00000338</t>
  </si>
  <si>
    <t>KAZU, S.A. DE C.V.</t>
  </si>
  <si>
    <t>0614-110821-107-0</t>
  </si>
  <si>
    <t>306950-0</t>
  </si>
  <si>
    <t>00000339</t>
  </si>
  <si>
    <t>JIMENEZ GARZON, LUZ MADELEN</t>
  </si>
  <si>
    <t>9393-030962-101-0</t>
  </si>
  <si>
    <t>228961-0</t>
  </si>
  <si>
    <t>00000340</t>
  </si>
  <si>
    <t>MENDOZA CHACON, RAUL ARMANDO</t>
  </si>
  <si>
    <t>271432-3</t>
  </si>
  <si>
    <t>04209649-5</t>
  </si>
  <si>
    <t>00000341</t>
  </si>
  <si>
    <t>TECNO CELL</t>
  </si>
  <si>
    <t>1217-050289-102-0</t>
  </si>
  <si>
    <t>00000342</t>
  </si>
  <si>
    <t>ESPINOZA HERNANDEZ, KARLA MARIA</t>
  </si>
  <si>
    <t>340349-6</t>
  </si>
  <si>
    <t>05666656-1</t>
  </si>
  <si>
    <t>Kali  S.E.M. de C.V.</t>
  </si>
  <si>
    <t>Biocam Tecnologia  S.A. de C.V.</t>
  </si>
  <si>
    <t>Riversal Corporacion  S.A. de C.V.</t>
  </si>
  <si>
    <t>Laboratorio Centro Scan  S.A. de C.V.</t>
  </si>
  <si>
    <t>GK Maxima Publicidad  S.A.de C.V.</t>
  </si>
  <si>
    <t>Inmobiliari  S.A. de C.V.</t>
  </si>
  <si>
    <t>Carlos Herrera  S.A. de C.V.</t>
  </si>
  <si>
    <t>Corporacion dos por tres  S.A. de C.V.</t>
  </si>
  <si>
    <t>Grupo Carsen  S.A. de C.V.</t>
  </si>
  <si>
    <t>Eurolube del El Salvador  S.A. de C.V.</t>
  </si>
  <si>
    <t>Super Sonidos de El Salvador  S.A. de C.V.</t>
  </si>
  <si>
    <t>Traspasos y Desarrollos  S.A. de C.V.</t>
  </si>
  <si>
    <t>Pro-Nobis  S.A. de C.V.</t>
  </si>
  <si>
    <t>Mariscos de Centro America  S.A. de C.V.</t>
  </si>
  <si>
    <t>El Salvador Helicopters  S.A. de C.V.</t>
  </si>
  <si>
    <t>Globe Travel Turismo y Negocios  S.A. de C.V.</t>
  </si>
  <si>
    <t>Skin &amp; Beauty  S.A. de C.V.</t>
  </si>
  <si>
    <t>Transportes Pesados  S.A. de C.V.</t>
  </si>
  <si>
    <t>Inka Inversiones  S.A. de C.V.</t>
  </si>
  <si>
    <t>Soluciones de Codificacion  S.A. de C.V.</t>
  </si>
  <si>
    <t>Diversidades Tecnologicas  S.A. de C.V.</t>
  </si>
  <si>
    <t>INVERSIONES GEKO  S.A. DE C.V.</t>
  </si>
  <si>
    <t>Integracion de Informacion  S.A. DE C.V.</t>
  </si>
  <si>
    <t>E.R.A. TECNOLOGY  S.A. DE C.V.</t>
  </si>
  <si>
    <t>ACQUA  S.A. DE C.V.</t>
  </si>
  <si>
    <t>FUEL SERVICES  S.A. DE C.V.</t>
  </si>
  <si>
    <t>TODO MOTOR EL SALVADOR  SA DE C.V.</t>
  </si>
  <si>
    <t>CORPORACION SIETE  S.A. DE C.V.</t>
  </si>
  <si>
    <t>BDO FIGUEROA JIMENEZ &amp; CO  S.A. DE C.V.</t>
  </si>
  <si>
    <t>REPARACIONES RUIZ  S.A. DE C.V.</t>
  </si>
  <si>
    <t>LECLAIR  S.A. DE C.V.</t>
  </si>
  <si>
    <t>TALA  S.A. DE C.V.</t>
  </si>
  <si>
    <t>Beauty Market  S.A. de C.V.</t>
  </si>
  <si>
    <t>Healthco Productos  S.A. de C.V.</t>
  </si>
  <si>
    <t>DISUR  S.A. DE C.V.</t>
  </si>
  <si>
    <t>Importadora Exitosa  S.A de C.V</t>
  </si>
  <si>
    <t>GRUPO ASA  S.A. DE C.V.</t>
  </si>
  <si>
    <t>OPTICA CRISTAL  S.A. DE C.V.</t>
  </si>
  <si>
    <t>Cafe Santa Cruz  S.A. de C.V.</t>
  </si>
  <si>
    <t>Mechotique  S.A. de C.V.</t>
  </si>
  <si>
    <t>Hotel de la Escalon  S.A. de C.V.</t>
  </si>
  <si>
    <t>J &amp; A  S.A. DE C.V.</t>
  </si>
  <si>
    <t>ADN Group  S.A. de C.V.</t>
  </si>
  <si>
    <t>ENZACTA EL SALVADOR  S.A. DE C.V.</t>
  </si>
  <si>
    <t>LUMITEC  S.A. DE C.V.</t>
  </si>
  <si>
    <t>Grupo Futura  SA de CV</t>
  </si>
  <si>
    <t>PROINVA  S.A. DE C.V.</t>
  </si>
  <si>
    <t>J Y R  S.A. DE C.V.</t>
  </si>
  <si>
    <t>Inversiones Figueroa  S.A. de C.V.</t>
  </si>
  <si>
    <t>Baby Med  Sociedad Anonima de Capital Vriable</t>
  </si>
  <si>
    <t>LA TRINCHERA SEGURIDAD  S.A. DE C.V.</t>
  </si>
  <si>
    <t>Sistemas Contables Administrativos  S.A. de C.V.</t>
  </si>
  <si>
    <t>ARCOMER  S.A. DE C.V.</t>
  </si>
  <si>
    <t>Corporacion Rodriguez Moreira  S.A. de C.V.</t>
  </si>
  <si>
    <t>VARELA GARCIA  S.A. DE C.V.</t>
  </si>
  <si>
    <t>VIELCA INGENIEROS  S.A. DE C.V.</t>
  </si>
  <si>
    <t>TERCERICE  S.A. DE C.V.</t>
  </si>
  <si>
    <t>DISTRIBUIDORA DE PRODUCTOS Y COMERCIO INTERNACIONAL  S.A. DE C.V.</t>
  </si>
  <si>
    <t>EXECUTIVE CATERING  S.A. DE C.V.</t>
  </si>
  <si>
    <t>GEO CRISDAY  S.A. DE C.V.</t>
  </si>
  <si>
    <t>SEGUI  S.A. DE C.V.</t>
  </si>
  <si>
    <t>HUB LOGISTICS  S.A. DE C.V.</t>
  </si>
  <si>
    <t>CENTRAL LOGISTICS  S.A. DE C.V.</t>
  </si>
  <si>
    <t>MARTELL CONSULTORES SAOCIADOS  S.A. DE C.V.</t>
  </si>
  <si>
    <t>AGROSALVA  S.A. DE C.V.</t>
  </si>
  <si>
    <t>LEGUME  S.A. DE C.V.</t>
  </si>
  <si>
    <t>PINTO Y COMPAÑIA  S.A. DE C.V.</t>
  </si>
  <si>
    <t>PANACEO  S.A. DE C.V.</t>
  </si>
  <si>
    <t>PICME  S.A. DE C.V.</t>
  </si>
  <si>
    <t>BODEGAS AMERICAS  S.A. DE C.V.</t>
  </si>
  <si>
    <t>AG PROYECTOS  S.A. DE C.V.</t>
  </si>
  <si>
    <t>FRANQUICIAS DE EL SALVADOR  S.A. DE C.V.</t>
  </si>
  <si>
    <t>GRUPO J16  S.A. DE C.V.</t>
  </si>
  <si>
    <t>INVICA INVERSIONES  S.A. DE C.V.</t>
  </si>
  <si>
    <t>PRINDUSAT CORP.  S.A. DE C.V.</t>
  </si>
  <si>
    <t>GRUPO CARVAL  S.A. DE C.V.</t>
  </si>
  <si>
    <t>CADEJO BREWING COMPANY  S.A. DE C.V.</t>
  </si>
  <si>
    <t>CLINICA E INVERSIONES SALVADOREÑA  S.A. DE C.V.</t>
  </si>
  <si>
    <t>A Y P DE EL SALVADOR  S.A.</t>
  </si>
  <si>
    <t>ACABADOS INTEGRALES  S.A DE C.V.</t>
  </si>
  <si>
    <t>POLYCOLOR DE EL SALVADOR  S.A. DE C.V.</t>
  </si>
  <si>
    <t>VIAS QL  S.A. DE C.V.</t>
  </si>
  <si>
    <t>INDUSTRIAS MELGEAS  S.A. DE C.V.</t>
  </si>
  <si>
    <t>GRUPO BIOVET  S.A. DE C.V.</t>
  </si>
  <si>
    <t>CRM  S.A. DE C.V.</t>
  </si>
  <si>
    <t>ESENCIASECOQUIMICAS  S.A. DE C.V.</t>
  </si>
  <si>
    <t>DISTRIBUCIONES DCE EL SALVADOR  S.A. DE C.V.</t>
  </si>
  <si>
    <t>SERVI RM  S.A. DE C.V.</t>
  </si>
  <si>
    <t>PROMAQ  S.A.</t>
  </si>
  <si>
    <t>PROFESIONALES  EN MAQUINARIA  S.A. DE C.V.</t>
  </si>
  <si>
    <t>Bluetek  S.A. de C.V.</t>
  </si>
  <si>
    <t>DIMAJO VALLE Y ASOCIADOS  S.A.DE C.V.</t>
  </si>
  <si>
    <t>LANCASCO SALVADOREÑA  S.A. DE C.V.</t>
  </si>
  <si>
    <t>DRY CLEANING MARTINIZING  S.A.</t>
  </si>
  <si>
    <t>CORPORACION DE BEBIDAS Y ALIMENTOS  S.A. DE C.V.</t>
  </si>
  <si>
    <t>FARMA MERCANTIL CENTROAMERICANAS  S.A. DE C.V.</t>
  </si>
  <si>
    <t>DIVACO  S.A. DE C.V.</t>
  </si>
  <si>
    <t>CENTRO DE FISIOTERAPIA Y YQUIROPRACTICO INKA  S.A. DE C.V.</t>
  </si>
  <si>
    <t>DIMSEL  S.A. DE C.V.</t>
  </si>
  <si>
    <t>AV PROVEEDORES  S.A. DE C.V.</t>
  </si>
  <si>
    <t>INVERSIONES CORNEJO  S.A. DE C.V.</t>
  </si>
  <si>
    <t>KAHKOW  S.A. DE C.V.</t>
  </si>
  <si>
    <t>IMPRESOS RG  S.A. DE C.V.</t>
  </si>
  <si>
    <t>Administradora de Condominio Ofibodega Nejapa  S.A. de C.V.</t>
  </si>
  <si>
    <t>GRUPO ROYAUME  S.A. DE C.V.</t>
  </si>
  <si>
    <t>GRUPO ESTRELLA  S.A. DE C.V.</t>
  </si>
  <si>
    <t>ACOAPOPA  S.A. DE C.V.</t>
  </si>
  <si>
    <t>SANTA FE Y PUEYRREDON  S.A. DE C.V.</t>
  </si>
  <si>
    <t>GRUPO VELASZCO  S.A. DE C.V.</t>
  </si>
  <si>
    <t>GLAS  S.A. DE C.V.</t>
  </si>
  <si>
    <t>MUNDO PRINT  S.A. DE C.V.</t>
  </si>
  <si>
    <t>SERINAM  S.A. DE C.V.</t>
  </si>
  <si>
    <t>PRICE MASTER  S.A. DE C.V.</t>
  </si>
  <si>
    <t>ESTUDIOS DOBLE V  S.A. DE C.V.</t>
  </si>
  <si>
    <t>GOODBEANS  S.A.S.. DE C.V.</t>
  </si>
  <si>
    <t>PREFABRICADOS Y TECNOLOGIA  S.A. DE C.V.</t>
  </si>
  <si>
    <t>BEAT STUDIO  S.A. DE C.V.</t>
  </si>
  <si>
    <t>CARPELO  S.A. DE C.V.</t>
  </si>
  <si>
    <t>EXPERTOS INDUSTRIALES  S.A. DE C.V.</t>
  </si>
  <si>
    <t>SAKS ASSOCIATES  S.A. DE C.V.</t>
  </si>
  <si>
    <t>AGRO IRIS EL SALVADOR  S.A. DE C.V.</t>
  </si>
  <si>
    <t>COMERCIALIZADORA CENTROAMERICANA DE EL SALVADOR  S.A. DE.C.V.</t>
  </si>
  <si>
    <t>EL CAFE DE DON PEDRO  S.A. DE C.V.</t>
  </si>
  <si>
    <t>GRUPO MOSKEM  S.A. DE C.V.</t>
  </si>
  <si>
    <t>SERVICIOS DE TRANSPORTES  S.A. DE C.V.</t>
  </si>
  <si>
    <t>CANALES &amp; SALMERON  S.A. DE C.V.</t>
  </si>
  <si>
    <t>ORELLANA DE PEÑA  ESTELA MARINA</t>
  </si>
  <si>
    <t>RODRIGUEZ DE DIAZ  BARBARA LISETTE</t>
  </si>
  <si>
    <t>ECO AGUA  S.A. DE C.V.</t>
  </si>
  <si>
    <t>MADRID PATZAN  CESAR HUMBERTO</t>
  </si>
  <si>
    <t>VELASCO IRAHETA  GUILLERMO ANTONIO</t>
  </si>
  <si>
    <t>ENCARE TRAVEL  S.A. DE C.V.</t>
  </si>
  <si>
    <t>MAMA CHILA  S.A. DE C.V.</t>
  </si>
  <si>
    <t>PUERTO AZUL  S.A. DE C.V.</t>
  </si>
  <si>
    <t>INGENIERIA Y TECNICA  S.A. DE C.V.</t>
  </si>
  <si>
    <t>LATINO AMERICANA IMPORTADORA FARMACEUTICA  S.A. DE C.V.</t>
  </si>
  <si>
    <t>CONINCA ESA  S.A. DE C.V.</t>
  </si>
  <si>
    <t>GRUPO LUBRICANTES SOLRZANO  S.A. DE C.V.</t>
  </si>
  <si>
    <t>GLOSS  S.A. DE C.V.</t>
  </si>
  <si>
    <t>FERREIRO K  KOKI ROBERTO</t>
  </si>
  <si>
    <t>GUERRA MARQUEZ  PEDRO JOSE</t>
  </si>
  <si>
    <t>PEÑA ORELLANA  DIEGO MANUEL ALBERTO</t>
  </si>
  <si>
    <t>QUIRO PRAXIA INKA  S.A. DE C..V.</t>
  </si>
  <si>
    <t>ECOSOLIDOS  S.A. DE C.V.</t>
  </si>
  <si>
    <t>INNOVA CORP.  S.A. DE C.V.</t>
  </si>
  <si>
    <t>LUNA FIGUEROA  KATHERINE PATRICIA</t>
  </si>
  <si>
    <t>MINITIENDA.COM  S.A. DE C.V.</t>
  </si>
  <si>
    <t>KAZU  S.A. DE C.V.</t>
  </si>
  <si>
    <t>JIMENEZ GARZON  LUZ MADELEN</t>
  </si>
  <si>
    <t>MENDOZA CHACON  RAUL ARMANDO</t>
  </si>
  <si>
    <t>ESPINOZA HERNANDEZ  KARLA MARIA</t>
  </si>
  <si>
    <t>Carretera al puerto de la libertad  Km 100 cton salinas de ayacachapa  caserio los limones</t>
  </si>
  <si>
    <t>5ta Cl Pte y 83 Av norte #410  Colonia Escalon</t>
  </si>
  <si>
    <t>Colonia Escalon  Condominio Balam Quitze #27  Paseo Gral Escalón</t>
  </si>
  <si>
    <t>Cton Camotepeque  Km 23 1/2 Carretera a quesaltepeque</t>
  </si>
  <si>
    <t>Calle Arturo Ambrogui Block #147  Col Escalon</t>
  </si>
  <si>
    <t>Av Max Bloch  Col Medica  Diagonal Dr Luis Vasquez</t>
  </si>
  <si>
    <t>47 Av Norte  Local B-14  Condominio metro 2000</t>
  </si>
  <si>
    <t>Blvd del Hipodromo local 303  san benito</t>
  </si>
  <si>
    <t>Carretera oeste panamericana Km 20  Autopista de San Salvador a Nejapa  Complejo Ofibodegas Nejapa  Bodega #8</t>
  </si>
  <si>
    <t>Carretera a nejapa  Km 20  Complejo Ofibodegas Nejapa #2</t>
  </si>
  <si>
    <t>Carretera Oeste panamericana Km 20  Bodega #23</t>
  </si>
  <si>
    <t>Carrete. Oeste panamericana  Kilometro 20 Ofibodega Nejapa local 19</t>
  </si>
  <si>
    <t>Diagonal Dr. Luis Edmundo Vasquez  Local #8  Colonia medica  Edificio Medicentro</t>
  </si>
  <si>
    <t>Colonia Escalón  Cond. Balam Quitze  segunda planta # 11  Paseo General Escalón</t>
  </si>
  <si>
    <t>45 Av. Norte Prolg. Calle Arce  local 32  Col. Flor Blanca</t>
  </si>
  <si>
    <t>Diagonal Edmundo Vasquez  Pasaje   casa #  Colonia Medica</t>
  </si>
  <si>
    <t>Local  19 Colonia la Mascota Centro Comercial Hilliside</t>
  </si>
  <si>
    <t>Psj. Santa Monica  Col. Santa Monica # 17</t>
  </si>
  <si>
    <t>Poligono #53  Villa Burdeos  Ciudad Versalles</t>
  </si>
  <si>
    <t>Cl La Mascota  Av Masferrer Sur  Local 38</t>
  </si>
  <si>
    <t>FINAL CALLE LA MASCOTA AV MASFERRER  LOCAL 4-B</t>
  </si>
  <si>
    <t>CALLE EL MIRADOS  25AV NORTE COL ESCALON</t>
  </si>
  <si>
    <t>15 CL PTE  COL ESCALON #4422</t>
  </si>
  <si>
    <t>CL CUSCATLAN #532 LOCAL 2  ENTRE 85 Y 87 AV SUR  COL ESCALON</t>
  </si>
  <si>
    <t>OFIBODEGA #27  BODEGAS APOPA  POLIGONO 2</t>
  </si>
  <si>
    <t>BLVD ORIENTE  PLG 2  COL HACIENDA EL ANGEL EDIFICIO 9</t>
  </si>
  <si>
    <t>CL ARTURO AMBROGUI  BLOCK 147  COLONIA ESCALON</t>
  </si>
  <si>
    <t>CALLE AL MIRADOR  COL ESCALON  EDIFICIO VICTORIA 5° NIVEL  #4814</t>
  </si>
  <si>
    <t>AV OLIMPICA #3324  COLONIA ESCALON</t>
  </si>
  <si>
    <t>Av Dr Emilio Alvarez  Colonia Medica #18</t>
  </si>
  <si>
    <t>PSJ 5 OTE. BLOCK #12  PORTICOS DE SAN RAMON</t>
  </si>
  <si>
    <t>CL LA MASCOTA  ENTRE AV JERUSALEN Y COLONIA ESCALON #119</t>
  </si>
  <si>
    <t>OFIBODEGAS APOPA  BODEGA #10</t>
  </si>
  <si>
    <t>7° CALLE PTE  COL ESCALON #4929  Z-11</t>
  </si>
  <si>
    <t>85 AV NORTE  EDIFICIO CAROSA #907</t>
  </si>
  <si>
    <t>CALLE ARCE  5 AV Y 7 AV NORTE #423 ARCE</t>
  </si>
  <si>
    <t>Calle la Mascota  Av Jerusalen local #23</t>
  </si>
  <si>
    <t>Buolevard Sur  Urb SAnta Elena  Edificio Eben Ezer</t>
  </si>
  <si>
    <t>3ERA CALLE PTE  PSJ FRANCISCO  COL ESCALON #119</t>
  </si>
  <si>
    <t>Calle el Amate  Pol 8  Res Bosques 1  era etapa #38</t>
  </si>
  <si>
    <t xml:space="preserve">AEROPUERTO INTERNACIONAL ILOPANGO  HANGAR B-8 </t>
  </si>
  <si>
    <t>95 av norte  local 1  Col Escalon</t>
  </si>
  <si>
    <t>Cl a San Miguel Tepezontes  Cton San Jose de la Montaña #19</t>
  </si>
  <si>
    <t>Canton Rio los Bueyes  Caserio Mechotique</t>
  </si>
  <si>
    <t>Calle nueva #1  Colonia Escalon #3889</t>
  </si>
  <si>
    <t>10° calle oriente  local 4-2  col Utila  #2 Club de Leones</t>
  </si>
  <si>
    <t>RUTA #5  BODEGAS NEJAPA</t>
  </si>
  <si>
    <t>15 AV NORTE  URB FINCA DE ASTURIAS  CASA 90 POLGIGONO C  CIUDAD MERLIOT</t>
  </si>
  <si>
    <t>Local C-13  Condominio Multiplaza</t>
  </si>
  <si>
    <t>AC MASFERRER Y 75 CL PONIENTE  LOCAL 22  PLAZA BARCELO</t>
  </si>
  <si>
    <t>12 CL PONIENTE  ENTRE 49 Y 51 AV SUR  COL FLOR BLANCA</t>
  </si>
  <si>
    <t>Pol 63  Senda 63-A  Res Villa del Sol  2 Urb Altavista #25  San Martin</t>
  </si>
  <si>
    <t>Complejo Ofibodegas Nejapa  Bodega #13</t>
  </si>
  <si>
    <t>FINAL CALLE 4  #378 COL LA MASCOTA</t>
  </si>
  <si>
    <t>Cl la mascota  pje 5  Col Mascota</t>
  </si>
  <si>
    <t>CALLE LA MASCOTA C-4  RESIDENCIAL LAS ESTANCIAS URB LA MASCOTA</t>
  </si>
  <si>
    <t>ENTRE 7° Y 9° CALLE PTE  91 AV NORTE  COL ESCALON</t>
  </si>
  <si>
    <t>CL RAFAEL QUINTEROS  PJE UMAÑA  BARRIO SAN CRISTOBLA #125</t>
  </si>
  <si>
    <t>CL MANUEL ENRIQUE ARAUJO  PARQUE DE PELOTAS</t>
  </si>
  <si>
    <t>Cl a San Miguel Tepezontes  carretera panorámica km 19  cton candelaria</t>
  </si>
  <si>
    <t>COL SAN BENITO  CL LA REFORMA #224</t>
  </si>
  <si>
    <t>BLVD CONSTITUCION  CONTIGUO A SUPER REPUESTOS  SAN ANTONIO ABAD</t>
  </si>
  <si>
    <t>BLVD CONSTITUCION  LOCAL 1 #1970  VILLA SANTA MARTA</t>
  </si>
  <si>
    <t>CALLE PADRES AGUILAR  COL ESCALON #221</t>
  </si>
  <si>
    <t>CALLE LA MASCOTA . COL SAN BENITO #470</t>
  </si>
  <si>
    <t>3° CALLE PONIENTE  LOCAL 9  COL ESCALON  CASA #7</t>
  </si>
  <si>
    <t>FINAL CALLE 4 # 378  CALLE Y COLONIA LA MASCOTA</t>
  </si>
  <si>
    <t>CARRETERA TRONCAL DEL NORTE  OCAL 356  PLA MUNDO  1ER NIVEL</t>
  </si>
  <si>
    <t>CALLE LIBERTAD  AV TEOTEPEQUE  BLOCK</t>
  </si>
  <si>
    <t>BLVD EL HIPODROMO  LOCAL 10  COL SAN BENITO</t>
  </si>
  <si>
    <t>Calle La Mascota Local 14  Colonia Escalon</t>
  </si>
  <si>
    <t>Final Calle la Mascota y Av Jerusalen  plaza arbol de dios  local 7  Col Escalón</t>
  </si>
  <si>
    <t>8 calle pte  col escalon</t>
  </si>
  <si>
    <t>CALLE PPAL  COL LA CAMPIÑA CASA #8</t>
  </si>
  <si>
    <t>Local B-8  Centro Comercial Mall San Gabriel</t>
  </si>
  <si>
    <t>Calle ppal N 3-C  reparto los rosales  col Miralvalle</t>
  </si>
  <si>
    <t>km 19 local F-5  Mall San Gabriel  sobre nueva autopista que conecta con Blvd Constitucion</t>
  </si>
  <si>
    <t>7a calle pte y calle jose marti  col escalon #15-4</t>
  </si>
  <si>
    <t>PJE DR INFANTE DIAZ  COL ESPINOZA #5-A</t>
  </si>
  <si>
    <t>CALLE LA MASCOTA  LOCAL C. COL. LA MASCOTA #204  S.S.</t>
  </si>
  <si>
    <t>Ofibodegas Nejapa  Bodega #8  Nejapa San Salvador</t>
  </si>
  <si>
    <t>Av. El Espino  Local L101 Ctro Com. Estacion del Casco  S.S.</t>
  </si>
  <si>
    <t>CALLE BAMBU BLVD EL HIPODROMO  LOCAL. 12  COL. SAN BENITO  ZONA ROSA  NIVEL 3  SAN SALVADOR</t>
  </si>
  <si>
    <t>PASEO GENERAL ESCALON  COND. TORRE 105  APTO 501</t>
  </si>
  <si>
    <t>3 CALLE PONITE 99 AV NORTE  COL ESCALON #5020  SAN SALVADOR  SAN SALVADOR</t>
  </si>
  <si>
    <t>Pje y senda Florida  Col. Escalón 176  San Salvador</t>
  </si>
  <si>
    <t>Calle Tepeagua  Block Urb. Jardines  Merliot #2</t>
  </si>
  <si>
    <t>COL  DISTRITO NUEVO CUSCATLAN 32-4</t>
  </si>
  <si>
    <t>KM. 10 1/2  LOCAL 9 CENTRO CDM PLAZA MALTA #1 B3</t>
  </si>
  <si>
    <t>83 AV SUR  COL ESCALON</t>
  </si>
  <si>
    <t>89 AV. NORTE  COL. ESCALÓN #573  SAN SALVADOR</t>
  </si>
  <si>
    <t>Carretera Troncal del Norte  Col. Atlacatl #36  San Salvador</t>
  </si>
  <si>
    <t>22 A CALLE ORIENTE  COL. LA ESPERANZA  #6  SAN MIGUEL</t>
  </si>
  <si>
    <t>6A AV. SUR  BO. SAN JUAN  #16  COJUTEPEQUE  CUSCATLAN</t>
  </si>
  <si>
    <t>FINAL CALLE 4  INTERSECCION CON CALLE 2  TANQUE #2</t>
  </si>
  <si>
    <t>URB. PADROS DE VENECIA IV #35 GRUPO 23  SOYAPANGO  SAN SALVADOR</t>
  </si>
  <si>
    <t>LOCAL 1  CENTRO COMU. LA GRAN VIA  EDIFICIO 8  ANTIGUO CUSCATLAN</t>
  </si>
  <si>
    <t>CARR. AL PUERTO DE LA LIBERTAD  SANTA TECLA</t>
  </si>
  <si>
    <t>FINAL CALLE LA REFORMA LOCAL #31  COL. SAN BENITO  SAN SALVADOR</t>
  </si>
  <si>
    <t>COND. OFIBODEGA  PLAZA 175-176 BODEGA 27  NEJAPA 2  SAN SALVADOR</t>
  </si>
  <si>
    <t>LOCAL 5  PLAYA EL TUNCO COSTADO BAR MOPELIA  TAMANIQUE  LA LIBERTAD</t>
  </si>
  <si>
    <t>CALLE PRINCIPAL  P PLG. 1 PGE  CANTON EL TUNCO DIST. TAMANIQUE</t>
  </si>
  <si>
    <t>#25  CARRETERA A QUEZALTEPEQUE  COMPLEJO OFIBODEGA  NEJAPA  SAN SALVADOR OESTE</t>
  </si>
  <si>
    <t>PASEO GENERAL ESCALON  SAN SALVADOR</t>
  </si>
  <si>
    <t>AV. BUGARAMILLAS  APTO D-22 COL. SAN FRANCISCO  COND VILLA FLORENCIA 2° NIVEL  SAN SALVADOR</t>
  </si>
  <si>
    <t>CALLE EL CRISTO AV. INDEPENDENCIA  FRENTE URB. LOMA LINDA  LOCAL 8-9</t>
  </si>
  <si>
    <t>CALLE ARTURO AMBROGI BLOCK 174  COL. ESCALON  #467  SAN SALVADOR</t>
  </si>
  <si>
    <t>CALLE LOMA LINDA  PJE C F7B</t>
  </si>
  <si>
    <t>1A CALLE PONIENTE BO. EL CEMENTERIO FRENTE A PJE. LA PRESA  PUERTO A LA LIBERTAD</t>
  </si>
  <si>
    <t>CALLE PRINCIPAL RES. CASA LINDA #76  ANTIGUO CUSCATLAN</t>
  </si>
  <si>
    <t>71 Y 73 AV. NORTE  COL. ESCALON SOBRE PASEO GENERAL ESCALON  SAN SALVADOR</t>
  </si>
  <si>
    <t>FINAL 67 AV. SUR COND. ROMA EDIF. B-L 24  COLONIA ROMA  SAN SALVADOR</t>
  </si>
  <si>
    <t>Venta de partes  piezas y accesorios para vehiculo</t>
  </si>
  <si>
    <t>23SD000F</t>
  </si>
  <si>
    <t>15041RESIN854872023</t>
  </si>
  <si>
    <t>003001</t>
  </si>
  <si>
    <t>23DS000C</t>
  </si>
  <si>
    <t>05001</t>
  </si>
  <si>
    <t>10000</t>
  </si>
  <si>
    <t>tipo_operacion</t>
  </si>
  <si>
    <t>tipo_ingreso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</si>
</sst>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1" fillId="0" borderId="0" applyNumberFormat="0" applyFill="0" applyBorder="0" applyAlignment="0" applyProtection="0"/>
  </cellStyleXfs>
  <cellXfs count="53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2" borderId="0" xfId="0" applyFill="1"/>
    <xf numFmtId="49" fontId="0" fillId="0" borderId="0" xfId="0" applyNumberFormat="1"/>
    <xf numFmtId="0" fontId="0" fillId="3" borderId="0" xfId="0" applyFill="1"/>
    <xf numFmtId="0" fontId="2" fillId="0" borderId="0" xfId="0" applyFont="1"/>
    <xf numFmtId="49" fontId="2" fillId="0" borderId="0" xfId="0" applyNumberFormat="1" applyFont="1"/>
    <xf numFmtId="0" fontId="0" fillId="4" borderId="0" xfId="0" applyFill="1"/>
    <xf numFmtId="49" fontId="0" fillId="4" borderId="0" xfId="0" applyNumberFormat="1" applyFill="1"/>
    <xf numFmtId="0" fontId="0" fillId="6" borderId="0" xfId="0" applyFill="1"/>
    <xf numFmtId="49" fontId="0" fillId="6" borderId="0" xfId="0" applyNumberFormat="1" applyFill="1"/>
    <xf numFmtId="0" fontId="5" fillId="8" borderId="3" xfId="0" applyFont="1" applyFill="1" applyBorder="1"/>
    <xf numFmtId="0" fontId="4" fillId="9" borderId="3" xfId="0" applyFont="1" applyFill="1" applyBorder="1"/>
    <xf numFmtId="0" fontId="4" fillId="9" borderId="1" xfId="0" applyFont="1" applyFill="1" applyBorder="1"/>
    <xf numFmtId="0" fontId="4" fillId="0" borderId="3" xfId="0" applyFont="1" applyBorder="1"/>
    <xf numFmtId="0" fontId="4" fillId="9" borderId="2" xfId="0" applyFont="1" applyFill="1" applyBorder="1"/>
    <xf numFmtId="0" fontId="5" fillId="8" borderId="0" xfId="0" applyFont="1" applyFill="1"/>
    <xf numFmtId="0" fontId="4" fillId="0" borderId="2" xfId="0" applyFont="1" applyBorder="1"/>
    <xf numFmtId="0" fontId="5" fillId="6" borderId="0" xfId="0" applyFont="1" applyFill="1"/>
    <xf numFmtId="49" fontId="5" fillId="6" borderId="0" xfId="0" applyNumberFormat="1" applyFont="1" applyFill="1"/>
    <xf numFmtId="0" fontId="5" fillId="10" borderId="0" xfId="0" applyFont="1" applyFill="1"/>
    <xf numFmtId="0" fontId="5" fillId="4" borderId="0" xfId="0" applyFont="1" applyFill="1"/>
    <xf numFmtId="0" fontId="0" fillId="7" borderId="4" xfId="0" applyFill="1" applyBorder="1"/>
    <xf numFmtId="0" fontId="0" fillId="5" borderId="4" xfId="0" applyFill="1" applyBorder="1"/>
    <xf numFmtId="49" fontId="2" fillId="7" borderId="4" xfId="0" applyNumberFormat="1" applyFont="1" applyFill="1" applyBorder="1"/>
    <xf numFmtId="0" fontId="2" fillId="7" borderId="4" xfId="0" applyFont="1" applyFill="1" applyBorder="1"/>
    <xf numFmtId="0" fontId="6" fillId="0" borderId="0" xfId="0" applyFont="1"/>
    <xf numFmtId="0" fontId="7" fillId="0" borderId="0" xfId="0" applyFont="1"/>
    <xf numFmtId="0" fontId="2" fillId="5" borderId="5" xfId="0" applyFont="1" applyFill="1" applyBorder="1"/>
    <xf numFmtId="0" fontId="6" fillId="5" borderId="4" xfId="0" applyFont="1" applyFill="1" applyBorder="1"/>
    <xf numFmtId="49" fontId="0" fillId="5" borderId="4" xfId="0" applyNumberFormat="1" applyFill="1" applyBorder="1"/>
    <xf numFmtId="0" fontId="8" fillId="0" borderId="0" xfId="0" applyFont="1"/>
    <xf numFmtId="49" fontId="2" fillId="12" borderId="0" xfId="0" applyNumberFormat="1" applyFont="1" applyFill="1"/>
    <xf numFmtId="0" fontId="2" fillId="12" borderId="0" xfId="0" applyFont="1" applyFill="1"/>
    <xf numFmtId="2" fontId="0" fillId="0" borderId="0" xfId="0" applyNumberFormat="1"/>
    <xf numFmtId="49" fontId="0" fillId="13" borderId="0" xfId="0" applyNumberFormat="1" applyFill="1"/>
    <xf numFmtId="49" fontId="0" fillId="0" borderId="0" xfId="0" applyNumberFormat="1" applyAlignment="1">
      <alignment horizontal="right"/>
    </xf>
    <xf numFmtId="0" fontId="1" fillId="0" borderId="0" xfId="1" applyNumberFormat="1" applyFill="1" applyAlignment="1">
      <alignment horizontal="right"/>
    </xf>
    <xf numFmtId="0" fontId="0" fillId="0" borderId="0" xfId="0" applyAlignment="1">
      <alignment horizontal="right"/>
    </xf>
    <xf numFmtId="0" fontId="1" fillId="2" borderId="0" xfId="0" applyFont="1" applyFill="1"/>
    <xf numFmtId="49" fontId="1" fillId="5" borderId="4" xfId="0" applyNumberFormat="1" applyFont="1" applyFill="1" applyBorder="1"/>
    <xf numFmtId="2" fontId="0" fillId="4" borderId="0" xfId="0" applyNumberFormat="1" applyFill="1"/>
    <xf numFmtId="0" fontId="1" fillId="0" borderId="0" xfId="0" applyFont="1"/>
    <xf numFmtId="44" fontId="5" fillId="10" borderId="0" xfId="0" applyNumberFormat="1" applyFont="1" applyFill="1"/>
    <xf numFmtId="44" fontId="0" fillId="0" borderId="0" xfId="0" applyNumberFormat="1"/>
    <xf numFmtId="44" fontId="5" fillId="4" borderId="0" xfId="0" applyNumberFormat="1" applyFont="1" applyFill="1"/>
    <xf numFmtId="0" fontId="0" fillId="2" borderId="8" xfId="0" applyFill="1" applyBorder="1"/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11" borderId="5" xfId="0" applyFont="1" applyFill="1" applyBorder="1" applyAlignment="1">
      <alignment horizontal="center"/>
    </xf>
    <xf numFmtId="0" fontId="6" fillId="11" borderId="7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204"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</dxf>
    <dxf>
      <numFmt numFmtId="27" formatCode="d/m/yyyy\ hh:mm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numFmt numFmtId="2" formatCode="0.00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numFmt numFmtId="2" formatCode="0.00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/m/yyyy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indexed="13"/>
        </patternFill>
      </fill>
    </dxf>
    <dxf>
      <fill>
        <patternFill patternType="solid">
          <fgColor indexed="64"/>
          <bgColor indexed="1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1363980</xdr:colOff>
      <xdr:row>29</xdr:row>
      <xdr:rowOff>30480</xdr:rowOff>
    </xdr:from>
    <xdr:to>
      <xdr:col>5</xdr:col>
      <xdr:colOff>952500</xdr:colOff>
      <xdr:row>32</xdr:row>
      <xdr:rowOff>83820</xdr:rowOff>
    </xdr:to>
    <xdr:sp macro="[0]!MostrarColumnaS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2C23835-7BE2-5586-D992-ED6FFD65DDD2}"/>
            </a:ext>
          </a:extLst>
        </xdr:cNvPr>
        <xdr:cNvSpPr/>
      </xdr:nvSpPr>
      <xdr:spPr>
        <a:xfrm>
          <a:off x="5440680" y="4907280"/>
          <a:ext cx="998220" cy="55626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MOSTRAR</a:t>
          </a:r>
          <a:b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COLUMNAS</a:t>
          </a:r>
        </a:p>
      </xdr:txBody>
    </xdr:sp>
    <xdr:clientData/>
  </xdr:twoCellAnchor>
  <xdr:twoCellAnchor>
    <xdr:from>
      <xdr:col>5</xdr:col>
      <xdr:colOff>1082411</xdr:colOff>
      <xdr:row>29</xdr:row>
      <xdr:rowOff>19329</xdr:rowOff>
    </xdr:from>
    <xdr:to>
      <xdr:col>6</xdr:col>
      <xdr:colOff>861431</xdr:colOff>
      <xdr:row>32</xdr:row>
      <xdr:rowOff>72669</xdr:rowOff>
    </xdr:to>
    <xdr:sp macro="[0]!OcultarColumn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7F9BBC0-6693-49F1-9CC2-1A352C263F8E}"/>
            </a:ext>
          </a:extLst>
        </xdr:cNvPr>
        <xdr:cNvSpPr/>
      </xdr:nvSpPr>
      <xdr:spPr>
        <a:xfrm>
          <a:off x="6565094" y="4884978"/>
          <a:ext cx="998220" cy="55514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OCULTAR</a:t>
          </a:r>
          <a:b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COLUMNAS</a:t>
          </a:r>
        </a:p>
      </xdr:txBody>
    </xdr:sp>
    <xdr:clientData/>
  </xdr:twoCellAnchor>
  <xdr:twoCellAnchor>
    <xdr:from>
      <xdr:col>6</xdr:col>
      <xdr:colOff>1051560</xdr:colOff>
      <xdr:row>29</xdr:row>
      <xdr:rowOff>15240</xdr:rowOff>
    </xdr:from>
    <xdr:to>
      <xdr:col>7</xdr:col>
      <xdr:colOff>403860</xdr:colOff>
      <xdr:row>32</xdr:row>
      <xdr:rowOff>68580</xdr:rowOff>
    </xdr:to>
    <xdr:sp macro="[0]!ExportarVentasCSV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5023FCE-0F8F-45AF-8151-15BD30D12963}"/>
            </a:ext>
          </a:extLst>
        </xdr:cNvPr>
        <xdr:cNvSpPr/>
      </xdr:nvSpPr>
      <xdr:spPr>
        <a:xfrm>
          <a:off x="7757160" y="4892040"/>
          <a:ext cx="998220" cy="55626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IMPORTAR</a:t>
          </a:r>
          <a:b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VENTAS	</a:t>
          </a:r>
          <a:endParaRPr lang="es-SV" sz="1100" b="1" kern="120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716280</xdr:colOff>
      <xdr:row>28</xdr:row>
      <xdr:rowOff>114300</xdr:rowOff>
    </xdr:from>
    <xdr:to>
      <xdr:col>8</xdr:col>
      <xdr:colOff>731520</xdr:colOff>
      <xdr:row>32</xdr:row>
      <xdr:rowOff>121920</xdr:rowOff>
    </xdr:to>
    <xdr:sp macro="[0]!ExportarDetalleVentasCSV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CFFB228-47FF-4517-A79C-2D8F1239BBD5}"/>
            </a:ext>
          </a:extLst>
        </xdr:cNvPr>
        <xdr:cNvSpPr/>
      </xdr:nvSpPr>
      <xdr:spPr>
        <a:xfrm>
          <a:off x="9067800" y="4823460"/>
          <a:ext cx="1150620" cy="67818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 kern="120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IMPORTAR</a:t>
          </a:r>
          <a:r>
            <a:rPr lang="es-SV" sz="1100" b="1" kern="120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DETALLE DE VENTAS</a:t>
          </a:r>
          <a:endParaRPr lang="es-SV" sz="1100" b="1" kern="120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6B50BE-8C9D-490A-9DA7-12F20158E7FB}" name="PRODUCTOS" displayName="PRODUCTOS" ref="F19:N22" totalsRowShown="0" headerRowDxfId="28">
  <autoFilter ref="F19:N22" xr:uid="{4D6B50BE-8C9D-490A-9DA7-12F20158E7FB}"/>
  <tableColumns count="9">
    <tableColumn id="1" xr3:uid="{7079BB79-E4AD-4CB1-A9E3-296A191DF19D}" name="cod_producto"/>
    <tableColumn id="2" xr3:uid="{4B4139DC-E1C7-439C-AC11-2E8C7647A11C}" name="descripcion" dataDxfId="27"/>
    <tableColumn id="3" xr3:uid="{2FA87F69-9AB0-4929-A043-CF516FA67BEC}" name="tipo_precio 1"/>
    <tableColumn id="4" xr3:uid="{83E7CCC2-E6A5-4D10-9E6E-39AC35056C7C}" name="tipo_precio 2"/>
    <tableColumn id="5" xr3:uid="{6A8C021F-8705-4F03-9D52-A7DCA7F37805}" name="tipo_precio 3"/>
    <tableColumn id="6" xr3:uid="{3FF41A40-B07C-4E10-8661-8EB9B3E4D231}" name="tipo_precio 4"/>
    <tableColumn id="7" xr3:uid="{6B50A710-6CDB-47A7-9ED8-58D211EE356A}" name="tipo_precio 5"/>
    <tableColumn id="8" xr3:uid="{488A1311-3072-42A3-B8E0-CA7ECC747714}" name="tipo_precio 6"/>
    <tableColumn id="9" xr3:uid="{9D4AF006-219D-4196-A90B-F780B3508EBD}" name="tipo_precio 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DA06C0F-8F86-4161-AFF0-4952D57A5AB3}" name="cod" displayName="cod" ref="I3:I5" totalsRowShown="0" headerRowDxfId="26" tableBorderDxfId="25">
  <autoFilter ref="I3:I5" xr:uid="{2DA06C0F-8F86-4161-AFF0-4952D57A5AB3}"/>
  <tableColumns count="1">
    <tableColumn id="1" xr3:uid="{E622F1A7-78B8-4878-A50F-104331E14B75}" name="cod_produc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B97061-CBED-48F2-A56A-E51EEB5111C4}" name="CLIENTES" displayName="CLIENTES" ref="A1:AM385" totalsRowShown="0">
  <autoFilter ref="A1:AM385" xr:uid="{BEC1E7E1-C8E7-4011-92B3-B4A24D9D8DE2}"/>
  <sortState xmlns:xlrd2="http://schemas.microsoft.com/office/spreadsheetml/2017/richdata2" ref="A2:AM377">
    <sortCondition ref="A1:A377"/>
  </sortState>
  <tableColumns count="39">
    <tableColumn id="1" xr3:uid="{9E20E3B2-C350-4CE0-9AF6-C7C747D30B23}" name="cod_cliente" dataDxfId="24"/>
    <tableColumn id="2" xr3:uid="{59C82468-583D-4864-8E18-674CA8A83DC7}" name="nombre" dataDxfId="23"/>
    <tableColumn id="3" xr3:uid="{CB718EE4-8A81-4322-B2AE-339F051C03C4}" name="direccion" dataDxfId="22"/>
    <tableColumn id="4" xr3:uid="{EF256F98-5B9F-4A81-A5B2-A901174E6258}" name="municipio" dataDxfId="21"/>
    <tableColumn id="5" xr3:uid="{7F5FBA78-F764-483B-9A06-DEBA8F97746F}" name="departamento" dataDxfId="20"/>
    <tableColumn id="6" xr3:uid="{5273F143-2D0A-48F7-BF4F-32513D0EE0F1}" name="giro"/>
    <tableColumn id="7" xr3:uid="{63F7A110-C3EE-4F16-B234-DF0F9393500B}" name="num_registro"/>
    <tableColumn id="8" xr3:uid="{AE703406-88B4-4066-860A-4A6DE349ACA9}" name="numero_nit"/>
    <tableColumn id="9" xr3:uid="{E5133610-E6C5-466E-92C4-EE29620D18C3}" name="telefonos"/>
    <tableColumn id="10" xr3:uid="{2B667EF5-86E9-435B-9C5A-A466C582985A}" name="numero_fax"/>
    <tableColumn id="11" xr3:uid="{4A48A4FA-EC75-4432-AEF0-8B67A135C0D8}" name="correo_electronico"/>
    <tableColumn id="12" xr3:uid="{95B4B46A-4B82-463C-B528-0021CA64D79B}" name="contactos"/>
    <tableColumn id="13" xr3:uid="{3D2CCE57-2F04-4D4A-8395-C7B0A2BBBDB3}" name="saldo_actual"/>
    <tableColumn id="14" xr3:uid="{8B7E0F7F-9E5B-44F9-BBAB-1C703AB1352B}" name="limite_credito"/>
    <tableColumn id="15" xr3:uid="{907DD4B0-425A-4760-8168-075E0EB60747}" name="forma_pago"/>
    <tableColumn id="16" xr3:uid="{A4C798B2-9956-40DA-ADAC-8C9B86881D8B}" name="dias_credito"/>
    <tableColumn id="17" xr3:uid="{291405D7-2213-4161-88FE-D317561477CA}" name="id_cuenta"/>
    <tableColumn id="18" xr3:uid="{1A2BC41E-CC54-4909-8D99-C4F728A304CB}" name="aplica_retencion"/>
    <tableColumn id="19" xr3:uid="{2F1D79E2-EFD7-4880-A0F1-EC951A94B7C7}" name="cod_vendedor"/>
    <tableColumn id="20" xr3:uid="{937EAF53-7051-46DD-862D-0CE76CBCB64C}" name="fecha_ult_pago"/>
    <tableColumn id="21" xr3:uid="{92B0A652-684A-4AC8-880B-387BC5367B21}" name="creado_por"/>
    <tableColumn id="22" xr3:uid="{2077ADFE-4AB2-439F-9651-A4A4142150A8}" name="fecha_hora_creacion" dataDxfId="19"/>
    <tableColumn id="23" xr3:uid="{67443C45-C30A-447B-BA37-850AF90F332C}" name="numero_dui"/>
    <tableColumn id="24" xr3:uid="{CFC9B993-B8F3-49FD-B273-B70765778537}" name="id_lista"/>
    <tableColumn id="25" xr3:uid="{1512FB4B-C719-4EDF-8AD4-80BEF93E48AC}" name="nombre_lista"/>
    <tableColumn id="26" xr3:uid="{9C7F407A-9A35-455D-BF18-B0EAB455D856}" name="nom_representante_legal"/>
    <tableColumn id="27" xr3:uid="{1198847A-5095-46B3-B7C8-7257320E389D}" name="doc_representante_legal"/>
    <tableColumn id="28" xr3:uid="{4B39D868-D83F-426E-B981-E48CF135966D}" name="tipo_persona"/>
    <tableColumn id="29" xr3:uid="{CBACF9F8-6586-4AC6-8DBC-A5B378D2D8AF}" name="fecha_nacimiento"/>
    <tableColumn id="30" xr3:uid="{886B65FC-1635-43A3-A5ED-5817470A90BC}" name="telefono_movil"/>
    <tableColumn id="31" xr3:uid="{00C3621B-63AB-4728-A22E-3D7939AAF8A9}" name="cod_cobrador"/>
    <tableColumn id="32" xr3:uid="{E219A50D-857B-4B8E-8D63-18CB75232E9A}" name="nombre1"/>
    <tableColumn id="33" xr3:uid="{65EC1CCE-0AA2-4213-AA16-57F2745FD037}" name="tipodocumento_cli"/>
    <tableColumn id="34" xr3:uid="{C8B4E43A-9E9F-4299-9E64-00640504A04D}" name="codactividad_cli"/>
    <tableColumn id="35" xr3:uid="{2CC68240-CB32-482E-951B-957279BEE8C7}" name="descactividad_cli"/>
    <tableColumn id="36" xr3:uid="{3A74C9EB-5846-4599-B306-78AEACBBD7BF}" name="direccion_departamento_cli"/>
    <tableColumn id="37" xr3:uid="{96D4BB30-643C-4E76-86A5-82BB3A0B1A8A}" name="direccion_municipio_cli"/>
    <tableColumn id="38" xr3:uid="{6DF13B14-2E9B-4CD7-89E2-AFFEE2674BD0}" name="cod_pais"/>
    <tableColumn id="39" xr3:uid="{A218A4CE-95E7-480C-860C-A47777E96948}" name="nombre_pais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CD1D36-D8F3-446B-B8CA-EE2D408C0FCE}" name="Tabla11" displayName="Tabla11" ref="A1:CO2" headerRowDxfId="203" dataDxfId="202">
  <autoFilter ref="A1:CO2" xr:uid="{22CD1D36-D8F3-446B-B8CA-EE2D408C0FCE}"/>
  <tableColumns count="93">
    <tableColumn id="1" xr3:uid="{43321ECB-DE20-4B58-9204-5192915F18CC}" name="id_venta" totalsRowLabel="Total" dataDxfId="201"/>
    <tableColumn id="2" xr3:uid="{DD5EAAD5-6429-41C9-BC62-73DF3CD14B65}" name="prefijo" dataDxfId="200" totalsRowDxfId="199">
      <calculatedColumnFormula>IF(A2="","",IF(D2=1,AYUDA!$C$9,AYUDA!$C$5))</calculatedColumnFormula>
    </tableColumn>
    <tableColumn id="3" xr3:uid="{0D94A4F5-E8C2-4606-85F8-767BE1B7928D}" name="numero_comprobante" dataDxfId="198"/>
    <tableColumn id="4" xr3:uid="{51268E31-A982-45F2-8A0D-B5CFFDF760AA}" name="tipo_comprobante" dataDxfId="197"/>
    <tableColumn id="5" xr3:uid="{A229A806-BE9D-4800-89A9-24F161EC82FD}" name="fecha_comprobante" dataDxfId="196"/>
    <tableColumn id="6" xr3:uid="{0C911DA7-85AE-4679-A077-0DFA2B984B93}" name="cod_cliente" dataDxfId="195"/>
    <tableColumn id="7" xr3:uid="{1C2709DC-E8F5-446A-847A-D9FD7B89C264}" name="nombre_cliente" dataDxfId="194" totalsRowDxfId="193">
      <calculatedColumnFormula>IF(A2="","",INDEX(CLIENTES[nombre],MATCH(F2,CLIENTES[cod_cliente],0)))</calculatedColumnFormula>
    </tableColumn>
    <tableColumn id="8" xr3:uid="{5D428314-1EF4-44E4-996F-454B95B40297}" name="direccion_cliente" dataDxfId="192">
      <calculatedColumnFormula>IF(A2="","",INDEX(CLIENTES[direccion],MATCH(F2,CLIENTES[cod_cliente],0)))</calculatedColumnFormula>
    </tableColumn>
    <tableColumn id="9" xr3:uid="{85380BB1-F996-4BE9-A6C3-9728C6634041}" name="municipio" dataDxfId="191" totalsRowDxfId="190">
      <calculatedColumnFormula>IF(A2="","",INDEX(CLIENTES[municipio],MATCH(F2,CLIENTES[cod_cliente],0)))</calculatedColumnFormula>
    </tableColumn>
    <tableColumn id="10" xr3:uid="{6C627DBA-197C-4D6D-8176-7F2F689595ED}" name="departamento" dataDxfId="189" totalsRowDxfId="188">
      <calculatedColumnFormula>IF(A2="","",INDEX(CLIENTES[departamento],MATCH(F2,CLIENTES[cod_cliente],0)))</calculatedColumnFormula>
    </tableColumn>
    <tableColumn id="11" xr3:uid="{FCAAF816-E745-452B-B829-F8442A33ABA1}" name="giro" dataDxfId="187" totalsRowDxfId="186">
      <calculatedColumnFormula>IF(A2="","",INDEX(CLIENTES[giro],MATCH(F2,CLIENTES[cod_cliente],0)))</calculatedColumnFormula>
    </tableColumn>
    <tableColumn id="12" xr3:uid="{CC305161-1644-4A40-B99F-1CAC8061A568}" name="num_registro" dataDxfId="185" totalsRowDxfId="184">
      <calculatedColumnFormula>IF(A2="","",INDEX(CLIENTES[num_registro],MATCH(F2,CLIENTES[cod_cliente],0)))</calculatedColumnFormula>
    </tableColumn>
    <tableColumn id="13" xr3:uid="{C5D2E2A9-E32C-423D-80CE-8B11516188A2}" name="numero_nit" dataDxfId="183" totalsRowDxfId="182">
      <calculatedColumnFormula>IF(A2="","",INDEX(CLIENTES[numero_nit],MATCH(F2,CLIENTES[cod_cliente],0)))</calculatedColumnFormula>
    </tableColumn>
    <tableColumn id="14" xr3:uid="{B6EB51F0-BDF2-45A9-AE6A-D101291B6685}" name="forma_pago" dataDxfId="181"/>
    <tableColumn id="15" xr3:uid="{46C19125-7A64-40AC-AD48-F75B4B79BF83}" name="fecha_vencimiento" dataDxfId="180">
      <calculatedColumnFormula>IF(A2="","",E2)</calculatedColumnFormula>
    </tableColumn>
    <tableColumn id="16" xr3:uid="{176AFD0C-F4FC-402B-A9F3-205F9B11E642}" name="num_pedido" dataDxfId="179" totalsRowDxfId="178"/>
    <tableColumn id="17" xr3:uid="{81237135-B4F3-4A97-A658-D8D27269E5D4}" name="cod_vendedor" dataDxfId="177"/>
    <tableColumn id="18" xr3:uid="{5DE79EF1-5653-4176-86E3-2B94A27028C7}" name="tipo_venta" dataDxfId="176" totalsRowDxfId="175">
      <calculatedColumnFormula>IF(A2="","",1)</calculatedColumnFormula>
    </tableColumn>
    <tableColumn id="19" xr3:uid="{13006BE5-38C5-41A7-85A7-6F1155F4FE87}" name="venta_titulo" dataDxfId="174" totalsRowDxfId="173"/>
    <tableColumn id="20" xr3:uid="{19CE6E9A-266D-4B49-A18D-5C7D1C663BE5}" name="telefonos" dataDxfId="172" totalsRowDxfId="171">
      <calculatedColumnFormula>IF(A2="","",INDEX(CLIENTES[telefonos],MATCH(F2,CLIENTES[cod_cliente],0)))</calculatedColumnFormula>
    </tableColumn>
    <tableColumn id="21" xr3:uid="{19D5D64F-F121-48BB-B1CA-B8C5537FB47A}" name="descto" dataDxfId="170" totalsRowDxfId="169"/>
    <tableColumn id="22" xr3:uid="{F85165B6-1E59-47BB-87A7-AE1AC4EB4070}" name="notas_remision" dataDxfId="168" totalsRowDxfId="167"/>
    <tableColumn id="23" xr3:uid="{44C59DB9-DD60-4E77-80D3-4DB229FCCE9D}" name="valor_descuento" dataDxfId="166" totalsRowDxfId="165" dataCellStyle="Millares">
      <calculatedColumnFormula>IF(A2="","","0.00")</calculatedColumnFormula>
    </tableColumn>
    <tableColumn id="24" xr3:uid="{019B6E62-18AB-4EEC-809C-0664153E34E9}" name="saldo_actual" dataDxfId="164"/>
    <tableColumn id="25" xr3:uid="{0E16A172-7BD4-4822-8B4E-881F641D6D63}" name="venta_afecta" dataDxfId="163">
      <calculatedColumnFormula>+Tabla11[[#This Row],[saldo_actual]]</calculatedColumnFormula>
    </tableColumn>
    <tableColumn id="26" xr3:uid="{99AD7E8A-C563-4686-BDDC-E51D19EE8B0C}" name="venta_exenta" dataDxfId="162" totalsRowDxfId="161">
      <calculatedColumnFormula>IF(A2="","","0.00")</calculatedColumnFormula>
    </tableColumn>
    <tableColumn id="27" xr3:uid="{16F9AD3E-337F-489F-8F9F-1F103F81ABB3}" name="venta_nosujeta" dataDxfId="160" totalsRowDxfId="159">
      <calculatedColumnFormula>IF(A2="","","0.00")</calculatedColumnFormula>
    </tableColumn>
    <tableColumn id="28" xr3:uid="{35D1E5E1-8922-4F60-997D-74987C873103}" name="valor_iva" dataDxfId="158" totalsRowDxfId="157">
      <calculatedColumnFormula>+(Tabla11[[#This Row],[venta_afecta]]/1.13)*0.13</calculatedColumnFormula>
    </tableColumn>
    <tableColumn id="29" xr3:uid="{553BC0AD-05DE-44D3-8CBE-A4565F4A877E}" name="total_comprobante" dataDxfId="156" totalsRowDxfId="155">
      <calculatedColumnFormula>+(Tabla11[[#This Row],[venta_afecta]]/1.13)+Tabla11[[#This Row],[valor_iva]]</calculatedColumnFormula>
    </tableColumn>
    <tableColumn id="30" xr3:uid="{3C8C6CAE-0707-4B3A-B829-1689CD9DE191}" name="per_ret" dataDxfId="154" totalsRowDxfId="153"/>
    <tableColumn id="31" xr3:uid="{CFE0BEF2-BE3A-415D-8148-4DE4FBAF02FB}" name="anulado" dataDxfId="152" totalsRowDxfId="151"/>
    <tableColumn id="32" xr3:uid="{CA5764EC-D854-490C-8A44-4850F83165CC}" name="fecha_cancelacion" dataDxfId="150" totalsRowDxfId="149"/>
    <tableColumn id="33" xr3:uid="{A546B52A-4BA3-4C07-88EB-849D6D658895}" name="id_venta_nc" dataDxfId="148" totalsRowDxfId="147"/>
    <tableColumn id="34" xr3:uid="{CD3BD614-EE81-43BE-85F3-13B330010183}" name="id_bodega" dataDxfId="146" totalsRowDxfId="145">
      <calculatedColumnFormula>IF(A2="","","01")</calculatedColumnFormula>
    </tableColumn>
    <tableColumn id="35" xr3:uid="{1FD90257-0C6B-456E-AE46-140F2C97B9AD}" name="id_punto" dataDxfId="144" totalsRowDxfId="143">
      <calculatedColumnFormula>IF(A2="","","01")</calculatedColumnFormula>
    </tableColumn>
    <tableColumn id="36" xr3:uid="{034554A1-B439-4AD8-B440-563D38C1A36B}" name="creado_por" dataDxfId="142" totalsRowDxfId="141"/>
    <tableColumn id="37" xr3:uid="{DF005228-3583-4D48-A065-DC2DB975D164}" name="fecha_hora_creacion" dataDxfId="140"/>
    <tableColumn id="38" xr3:uid="{2DB2988B-F23A-4B52-AEC2-4BAFBD38534F}" name="id_sucursal" dataDxfId="139" totalsRowDxfId="138">
      <calculatedColumnFormula>IF(A2="","","01")</calculatedColumnFormula>
    </tableColumn>
    <tableColumn id="39" xr3:uid="{F57290C0-94FF-4A16-89DF-553E7758C6DE}" name="valor_iva2" dataDxfId="137"/>
    <tableColumn id="40" xr3:uid="{5F51A7D9-C957-4DA1-814B-96FFC3016E47}" name="tipo_factura" dataDxfId="136" totalsRowDxfId="135">
      <calculatedColumnFormula>IF(A2="","",1)</calculatedColumnFormula>
    </tableColumn>
    <tableColumn id="41" xr3:uid="{299F212C-A7D1-423B-B334-C52BD0FE9BA9}" name="id_origen" dataDxfId="134" totalsRowDxfId="133">
      <calculatedColumnFormula>IF(A2="","",4)</calculatedColumnFormula>
    </tableColumn>
    <tableColumn id="42" xr3:uid="{A17AA2C3-0BA5-4DA7-90DF-04B1E43B061C}" name="valor_cesc" dataDxfId="132" totalsRowDxfId="131">
      <calculatedColumnFormula>IF(A2="","","0.00")</calculatedColumnFormula>
    </tableColumn>
    <tableColumn id="43" xr3:uid="{1E721578-45C4-48CC-95BC-4993584CE419}" name="id_costo" dataDxfId="130" totalsRowDxfId="129"/>
    <tableColumn id="44" xr3:uid="{A43DC1DE-33BB-4D7D-90A9-7A3AAC3B2505}" name="id_tienda" dataDxfId="128" totalsRowDxfId="127">
      <calculatedColumnFormula>IF(A2="","",0)</calculatedColumnFormula>
    </tableColumn>
    <tableColumn id="45" xr3:uid="{AC2AC556-44CD-4119-861E-7F08AE6DC716}" name="nombre_tienda" dataDxfId="126" totalsRowDxfId="125"/>
    <tableColumn id="46" xr3:uid="{B57D85BC-115D-44C4-9D8A-CE6D196E53CB}" name="id_lista" dataDxfId="124" totalsRowDxfId="123">
      <calculatedColumnFormula>IF(A2="","",0)</calculatedColumnFormula>
    </tableColumn>
    <tableColumn id="47" xr3:uid="{ED2461B6-C5AB-4FC0-AD0E-680D0BD1D3D0}" name="valor_efectivo" dataDxfId="122" totalsRowDxfId="121">
      <calculatedColumnFormula>IF(A2="","",AC2)</calculatedColumnFormula>
    </tableColumn>
    <tableColumn id="48" xr3:uid="{AE8C5E78-306C-4AFB-9D33-6A80E7F5093C}" name="num_nota_remision" dataDxfId="120" totalsRowDxfId="119"/>
    <tableColumn id="49" xr3:uid="{2259B400-D04F-4DA2-B05C-DC6D64BC72FA}" name="valor_cuenta_ajena" dataDxfId="118" totalsRowDxfId="117">
      <calculatedColumnFormula>IF(A2="","","0.00")</calculatedColumnFormula>
    </tableColumn>
    <tableColumn id="50" xr3:uid="{ED8AA555-64FC-45DB-B8F1-943059E55BDF}" name="desc1_cuenta_ajena" dataDxfId="116" totalsRowDxfId="115"/>
    <tableColumn id="51" xr3:uid="{F9611A3C-A692-4DA2-9404-D8311DE5A83D}" name="desc2_cuenta_ajena" dataDxfId="114" totalsRowDxfId="113"/>
    <tableColumn id="52" xr3:uid="{ADD635B8-F661-45DC-8A0A-6D3B671AE476}" name="desc3_cuenta_ajena" dataDxfId="112" totalsRowDxfId="111"/>
    <tableColumn id="53" xr3:uid="{2E968C3E-B50B-4253-A20F-9C7C015826F0}" name="desc4_cuenta_ajena" dataDxfId="110" totalsRowDxfId="109"/>
    <tableColumn id="54" xr3:uid="{A9FA91B4-79B9-413E-9247-4AEBF6D9265C}" name="numero_anticipo" dataDxfId="108" totalsRowDxfId="107"/>
    <tableColumn id="55" xr3:uid="{E23C5F7F-7530-46C9-BF05-9DBC58EDE481}" name="fecha_pago" dataDxfId="106" totalsRowDxfId="105"/>
    <tableColumn id="56" xr3:uid="{1AFD9591-DCD9-4E63-B874-4FA021181203}" name="total_pago" dataDxfId="104" totalsRowDxfId="103"/>
    <tableColumn id="57" xr3:uid="{6C83DFFF-DA6E-45F4-AE45-6D393ADCCA0E}" name="valor_anticipo" dataDxfId="102" totalsRowDxfId="101"/>
    <tableColumn id="58" xr3:uid="{02594E66-83D3-4884-9F53-5B92816BADE0}" name="resolucion" dataDxfId="100" totalsRowDxfId="99">
      <calculatedColumnFormula>IF(A2="","",IF(D2=1,AYUDA!$D$9,AYUDA!$D$5))</calculatedColumnFormula>
    </tableColumn>
    <tableColumn id="59" xr3:uid="{4E6F5EFC-4F13-4AF0-A259-B0D5552D305E}" name="tipo_exportacion" dataDxfId="98" totalsRowDxfId="97"/>
    <tableColumn id="60" xr3:uid="{41C9FA69-AA9F-4D3C-81F0-0CF6656FDF4B}" name="pre_impreso_desde" dataDxfId="96" totalsRowDxfId="95">
      <calculatedColumnFormula>IF(A2="","",IF(D2=1,AYUDA!$E$9,AYUDA!$E$5))</calculatedColumnFormula>
    </tableColumn>
    <tableColumn id="61" xr3:uid="{7045FAD0-7A24-4796-9F2B-9AB929349697}" name="pre_impreso_hasta" dataDxfId="94" totalsRowDxfId="93">
      <calculatedColumnFormula>IF(A2="","",IF(D2=1,AYUDA!$F$9,AYUDA!$F$5))</calculatedColumnFormula>
    </tableColumn>
    <tableColumn id="62" xr3:uid="{CD8758D3-C977-4FA7-B4C0-8CE4C7217AC0}" name="nombre_proyecto" dataDxfId="92" totalsRowDxfId="91"/>
    <tableColumn id="63" xr3:uid="{57AE36E9-4252-43DC-8591-7D0418E5D89E}" name="numerocontrol" dataDxfId="90" totalsRowDxfId="89"/>
    <tableColumn id="64" xr3:uid="{8A3EC2DD-848B-4F81-B31D-9E18AC951058}" name="codigogeneracion" dataDxfId="88" totalsRowDxfId="87"/>
    <tableColumn id="65" xr3:uid="{AA6FB83E-B7D8-43D8-8F14-DA692CBB9D05}" name="ventatercero_nit" dataDxfId="86" totalsRowDxfId="85"/>
    <tableColumn id="66" xr3:uid="{11145741-E807-4CDF-B07A-2E193300A00C}" name="ventatercero_nombre" dataDxfId="84" totalsRowDxfId="83"/>
    <tableColumn id="67" xr3:uid="{4CDF0189-62AA-47FD-A6D6-931B6299EE6C}" name="total_enletras" dataDxfId="82" totalsRowDxfId="81"/>
    <tableColumn id="68" xr3:uid="{9F95C5F9-CA2E-4DF9-A9C7-8BAC517BDD0F}" name="cod_formapago1dte" dataDxfId="80" totalsRowDxfId="79"/>
    <tableColumn id="69" xr3:uid="{EE2A0045-B0B2-492A-B4E9-078CF077C83D}" name="cod_formapago2dte" dataDxfId="78" totalsRowDxfId="77"/>
    <tableColumn id="70" xr3:uid="{B3D85D22-5869-47FE-AF4A-737709151696}" name="monto_formapago1dte" dataDxfId="76" totalsRowDxfId="75"/>
    <tableColumn id="71" xr3:uid="{59E361B9-E460-41B8-9496-F0A3CE1A6E44}" name="monto_formapago2dte" dataDxfId="74" totalsRowDxfId="73"/>
    <tableColumn id="72" xr3:uid="{3FBE162A-A478-4F92-B88D-38064FA1C357}" name="codigo_generacion" dataDxfId="72" totalsRowDxfId="71"/>
    <tableColumn id="73" xr3:uid="{344FD4A7-01AD-4F60-9273-6A3C1889AC21}" name="numero_control" dataDxfId="70" totalsRowDxfId="69"/>
    <tableColumn id="74" xr3:uid="{90C69D4C-54AC-4EB3-A5D8-36B807350CDA}" name="sellorecepcion" dataDxfId="68" totalsRowDxfId="67"/>
    <tableColumn id="75" xr3:uid="{D5477823-BDF0-4C0C-800E-A7854501B08A}" name="fecharecepcion" dataDxfId="66" totalsRowDxfId="65"/>
    <tableColumn id="76" xr3:uid="{CA8A38F2-FD15-48E6-99CA-BDEF5354A412}" name="observacionesfel" dataDxfId="64" totalsRowDxfId="63"/>
    <tableColumn id="77" xr3:uid="{732229AD-E581-4909-8F58-2A3FAC9C42C2}" name="estado_fel" dataDxfId="62" totalsRowDxfId="61"/>
    <tableColumn id="78" xr3:uid="{2AC70DA1-35D6-4AF6-A1C4-03F1FCD6C6D8}" name="recinto_fiscal" dataDxfId="60" totalsRowDxfId="59"/>
    <tableColumn id="79" xr3:uid="{65CE736F-503C-4563-BCF5-721E1B1C7C29}" name="regimen" dataDxfId="58" totalsRowDxfId="57"/>
    <tableColumn id="80" xr3:uid="{2ECD1908-2E09-4C46-9A37-C89E67B4E1BC}" name="tipo_persona" dataDxfId="56" totalsRowDxfId="55"/>
    <tableColumn id="81" xr3:uid="{9B8AE795-132C-424F-8710-B476AD92E267}" name="transporte" dataDxfId="54" totalsRowDxfId="53"/>
    <tableColumn id="82" xr3:uid="{657FAC82-AB45-4E29-A1CB-60063528114C}" name="incoterms" dataDxfId="52" totalsRowDxfId="51"/>
    <tableColumn id="83" xr3:uid="{FFBC66E8-1EB8-4E45-9167-96E07634A785}" name="valor_renta" dataDxfId="50" totalsRowDxfId="49"/>
    <tableColumn id="84" xr3:uid="{DFF973C8-A5D3-41FC-8EFF-ACA1EDF62BDB}" name="incoterm" dataDxfId="48" totalsRowDxfId="47"/>
    <tableColumn id="85" xr3:uid="{36012B45-C3AE-4F0C-9C51-42F024CEEE67}" name="bultos" dataDxfId="46" totalsRowDxfId="45"/>
    <tableColumn id="86" xr3:uid="{10644449-C0AF-445D-8EBD-138B5596C0F3}" name="peso_neto" dataDxfId="44" totalsRowDxfId="43"/>
    <tableColumn id="87" xr3:uid="{1E17CC56-F864-4056-86C0-89442E28B82C}" name="peso_bruto" dataDxfId="42" totalsRowDxfId="41"/>
    <tableColumn id="88" xr3:uid="{FD69025A-C5D2-411C-9199-EA81516803DD}" name="origen" dataDxfId="40" totalsRowDxfId="39"/>
    <tableColumn id="89" xr3:uid="{4CDCA78A-B65B-47E4-867F-04E3CBDDA3BF}" name="observaciones" dataDxfId="38" totalsRowDxfId="37"/>
    <tableColumn id="90" xr3:uid="{DBEBBAC3-B27D-4737-BC37-3D6E8AC5E87E}" name="motorista" dataDxfId="36" totalsRowDxfId="35"/>
    <tableColumn id="91" xr3:uid="{572F8F18-1BC8-4478-9257-B689E5C8523A}" name="orden_compra_ext" totalsRowFunction="count" dataDxfId="34" totalsRowDxfId="33"/>
    <tableColumn id="92" xr3:uid="{047B06D1-566B-4936-8D0D-32E8C229E4CC}" name="tipo_operacion" dataDxfId="32" totalsRowDxfId="31"/>
    <tableColumn id="93" xr3:uid="{057D95F1-B3C2-4270-864A-B4A43F14DB24}" name="tipo_ingreso" dataDxfId="30" totalsRowDxfId="29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212C450-71DB-4496-AA3B-C6966DE4C9C4}" name="Tabla10" displayName="Tabla10" ref="A1:Q2" totalsRowShown="0" headerRowDxfId="18" dataDxfId="17">
  <autoFilter ref="A1:Q2" xr:uid="{0212C450-71DB-4496-AA3B-C6966DE4C9C4}"/>
  <tableColumns count="17">
    <tableColumn id="1" xr3:uid="{A29A3BDF-53F4-4BCD-81C8-ACE2EE245321}" name="id_venta" dataDxfId="16"/>
    <tableColumn id="2" xr3:uid="{EC2B5CD2-C5EF-4B60-AD8A-7DF9319F9E42}" name="cod_producto" dataDxfId="15"/>
    <tableColumn id="3" xr3:uid="{ACEA0B08-CB3F-49FB-B45A-B6957056CBBA}" name="tipo_precio" dataDxfId="14"/>
    <tableColumn id="4" xr3:uid="{3FB11089-B129-4B76-B9F3-C19CD21AA0ED}" name="cantidad" dataDxfId="13"/>
    <tableColumn id="5" xr3:uid="{9A751993-549D-4694-AD47-513D6D083184}" name="descripcion" dataDxfId="12"/>
    <tableColumn id="6" xr3:uid="{BE4D2C3B-7F64-4D30-B392-6B09A4BC4C05}" name="precio_venta" dataDxfId="11"/>
    <tableColumn id="7" xr3:uid="{D97DE813-D271-4CB0-858B-66E5433ECF60}" name="descuento" dataDxfId="10"/>
    <tableColumn id="8" xr3:uid="{E3D633B2-54D0-496A-B4EC-85BD9A6C9289}" name="precio_unitario" dataDxfId="9">
      <calculatedColumnFormula>+Tabla10[[#This Row],[precio_venta]]</calculatedColumnFormula>
    </tableColumn>
    <tableColumn id="9" xr3:uid="{AD724815-F28E-4B5B-8315-1A26356ACF3D}" name="venta_exenta" dataDxfId="8"/>
    <tableColumn id="10" xr3:uid="{23DBFC97-53A5-467C-8FC3-7F8BEBB83918}" name="venta_afecta" dataDxfId="7">
      <calculatedColumnFormula>IF(A2="","",ROUND(D2*F2,2))</calculatedColumnFormula>
    </tableColumn>
    <tableColumn id="11" xr3:uid="{52AEDD42-CBD6-4EF8-B2F2-578050EF3A59}" name="venta_neta" dataDxfId="6">
      <calculatedColumnFormula>+Tabla10[[#This Row],[venta_afecta]]/1.13</calculatedColumnFormula>
    </tableColumn>
    <tableColumn id="12" xr3:uid="{564ED866-FE20-42BA-9075-264F3FD42C8A}" name="venta_nosujeta" dataDxfId="5"/>
    <tableColumn id="13" xr3:uid="{9ABCF3B9-F49A-4A85-9457-BFF2AC909E9C}" name="valor_cesc" dataDxfId="4"/>
    <tableColumn id="14" xr3:uid="{D2AC04DC-DA09-49E9-9C68-4383A9C5150F}" name="id_unidad" dataDxfId="3"/>
    <tableColumn id="15" xr3:uid="{2BB638E5-BB58-4045-B12D-37A335BA4176}" name="cantidad_umd" dataDxfId="2"/>
    <tableColumn id="16" xr3:uid="{9B0E2D6A-1D38-4849-91C4-34273D2F5C09}" name="observaciones" dataDxfId="1"/>
    <tableColumn id="17" xr3:uid="{418F2937-2D9A-408E-A8B7-F234DF17E17D}" name="linea_item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D0B9C-D948-4BB7-A0FC-D653A3A6C15E}">
  <sheetPr codeName="Hoja4">
    <tabColor rgb="FFFF0000"/>
  </sheetPr>
  <dimension ref="C1:N43"/>
  <sheetViews>
    <sheetView showGridLines="0" topLeftCell="A7" zoomScaleNormal="100" workbookViewId="0">
      <selection activeCell="C9" sqref="C9"/>
    </sheetView>
  </sheetViews>
  <sheetFormatPr baseColWidth="10" defaultRowHeight="12.75" x14ac:dyDescent="0.2"/>
  <cols>
    <col min="3" max="3" width="15.5703125" customWidth="1"/>
    <col min="4" max="4" width="20.7109375" customWidth="1"/>
    <col min="5" max="5" width="20.5703125" bestFit="1" customWidth="1"/>
    <col min="6" max="6" width="17.7109375" bestFit="1" customWidth="1"/>
    <col min="7" max="7" width="24" bestFit="1" customWidth="1"/>
    <col min="8" max="8" width="16.5703125" bestFit="1" customWidth="1"/>
    <col min="9" max="9" width="15.140625" customWidth="1"/>
    <col min="10" max="10" width="14.28515625" customWidth="1"/>
    <col min="11" max="11" width="14.5703125" bestFit="1" customWidth="1"/>
    <col min="12" max="12" width="20.42578125" customWidth="1"/>
    <col min="16" max="16" width="11.5703125" customWidth="1"/>
    <col min="19" max="19" width="11.5703125" customWidth="1"/>
    <col min="21" max="22" width="11.5703125" customWidth="1"/>
    <col min="31" max="33" width="11.5703125" customWidth="1"/>
    <col min="39" max="39" width="11.5703125" customWidth="1"/>
    <col min="43" max="43" width="11.5703125" customWidth="1"/>
    <col min="45" max="45" width="11.5703125" customWidth="1"/>
    <col min="48" max="48" width="11.5703125" customWidth="1"/>
    <col min="50" max="57" width="11.5703125" customWidth="1"/>
    <col min="59" max="59" width="11.5703125" customWidth="1"/>
    <col min="62" max="91" width="11.5703125" customWidth="1"/>
  </cols>
  <sheetData>
    <row r="1" spans="3:11" ht="15" x14ac:dyDescent="0.25">
      <c r="C1" s="28" t="s">
        <v>1436</v>
      </c>
    </row>
    <row r="2" spans="3:11" ht="15" x14ac:dyDescent="0.25">
      <c r="I2" s="28" t="s">
        <v>1469</v>
      </c>
    </row>
    <row r="3" spans="3:11" x14ac:dyDescent="0.2">
      <c r="C3" s="48" t="s">
        <v>1452</v>
      </c>
      <c r="D3" s="49"/>
      <c r="E3" s="49"/>
      <c r="F3" s="50"/>
      <c r="I3" s="17" t="s">
        <v>1425</v>
      </c>
      <c r="J3" s="12" t="s">
        <v>1454</v>
      </c>
      <c r="K3" s="12" t="s">
        <v>1456</v>
      </c>
    </row>
    <row r="4" spans="3:11" x14ac:dyDescent="0.2">
      <c r="C4" s="30" t="s">
        <v>1349</v>
      </c>
      <c r="D4" s="30" t="s">
        <v>1392</v>
      </c>
      <c r="E4" s="30" t="s">
        <v>1394</v>
      </c>
      <c r="F4" s="30" t="s">
        <v>1395</v>
      </c>
      <c r="H4" s="27" t="s">
        <v>1470</v>
      </c>
      <c r="I4" s="16" t="s">
        <v>1454</v>
      </c>
      <c r="J4" s="13">
        <v>2.1680999999999999</v>
      </c>
      <c r="K4" s="13">
        <v>0.2949</v>
      </c>
    </row>
    <row r="5" spans="3:11" x14ac:dyDescent="0.2">
      <c r="C5" s="24" t="s">
        <v>1803</v>
      </c>
      <c r="D5" s="24" t="s">
        <v>1804</v>
      </c>
      <c r="E5" s="41" t="s">
        <v>1805</v>
      </c>
      <c r="F5" s="31" t="s">
        <v>1473</v>
      </c>
      <c r="H5" s="27" t="s">
        <v>1471</v>
      </c>
      <c r="I5" s="18" t="s">
        <v>1456</v>
      </c>
      <c r="J5" s="15">
        <v>2.1680999999999999</v>
      </c>
      <c r="K5" s="15">
        <v>0.36870000000000003</v>
      </c>
    </row>
    <row r="6" spans="3:11" x14ac:dyDescent="0.2">
      <c r="J6" s="14">
        <v>2.3000799999999999</v>
      </c>
      <c r="K6" s="14">
        <v>0.24336199999999999</v>
      </c>
    </row>
    <row r="7" spans="3:11" x14ac:dyDescent="0.2">
      <c r="C7" s="48" t="s">
        <v>1453</v>
      </c>
      <c r="D7" s="49"/>
      <c r="E7" s="49"/>
      <c r="F7" s="50"/>
    </row>
    <row r="8" spans="3:11" x14ac:dyDescent="0.2">
      <c r="C8" s="30" t="s">
        <v>1349</v>
      </c>
      <c r="D8" s="30" t="s">
        <v>1392</v>
      </c>
      <c r="E8" s="30" t="s">
        <v>1394</v>
      </c>
      <c r="F8" s="30" t="s">
        <v>1395</v>
      </c>
    </row>
    <row r="9" spans="3:11" x14ac:dyDescent="0.2">
      <c r="C9" s="24" t="s">
        <v>1806</v>
      </c>
      <c r="D9" s="24" t="s">
        <v>1804</v>
      </c>
      <c r="E9" s="41" t="s">
        <v>1807</v>
      </c>
      <c r="F9" s="31" t="s">
        <v>1808</v>
      </c>
    </row>
    <row r="13" spans="3:11" x14ac:dyDescent="0.2">
      <c r="C13" s="51" t="s">
        <v>14</v>
      </c>
      <c r="D13" s="52"/>
      <c r="E13" s="48" t="s">
        <v>1357</v>
      </c>
      <c r="F13" s="50"/>
      <c r="G13" s="51" t="s">
        <v>1351</v>
      </c>
      <c r="H13" s="52"/>
    </row>
    <row r="14" spans="3:11" x14ac:dyDescent="0.2">
      <c r="C14" s="23">
        <v>1</v>
      </c>
      <c r="D14" s="26" t="s">
        <v>1449</v>
      </c>
      <c r="E14" s="24">
        <v>1</v>
      </c>
      <c r="F14" s="29" t="s">
        <v>1448</v>
      </c>
      <c r="G14" s="23">
        <v>1</v>
      </c>
      <c r="H14" s="26" t="s">
        <v>1467</v>
      </c>
    </row>
    <row r="15" spans="3:11" x14ac:dyDescent="0.2">
      <c r="C15" s="23">
        <v>2</v>
      </c>
      <c r="D15" s="26" t="s">
        <v>1450</v>
      </c>
      <c r="G15" s="23">
        <v>2</v>
      </c>
      <c r="H15" s="26" t="s">
        <v>1468</v>
      </c>
    </row>
    <row r="16" spans="3:11" x14ac:dyDescent="0.2">
      <c r="C16" s="23">
        <v>4</v>
      </c>
      <c r="D16" s="26" t="s">
        <v>1451</v>
      </c>
    </row>
    <row r="17" spans="3:14" x14ac:dyDescent="0.2">
      <c r="I17" s="35">
        <f>+H20*1.13</f>
        <v>2.4499529999999998</v>
      </c>
    </row>
    <row r="19" spans="3:14" x14ac:dyDescent="0.2">
      <c r="C19" s="51" t="s">
        <v>1437</v>
      </c>
      <c r="D19" s="52"/>
      <c r="F19" t="s">
        <v>1425</v>
      </c>
      <c r="G19" t="s">
        <v>1428</v>
      </c>
      <c r="H19" s="6" t="s">
        <v>1458</v>
      </c>
      <c r="I19" s="6" t="s">
        <v>1460</v>
      </c>
      <c r="J19" s="6" t="s">
        <v>1459</v>
      </c>
      <c r="K19" s="6" t="s">
        <v>1461</v>
      </c>
      <c r="L19" s="6" t="s">
        <v>1462</v>
      </c>
      <c r="M19" s="6" t="s">
        <v>1463</v>
      </c>
      <c r="N19" s="6" t="s">
        <v>1464</v>
      </c>
    </row>
    <row r="20" spans="3:14" x14ac:dyDescent="0.2">
      <c r="C20" s="25" t="s">
        <v>59</v>
      </c>
      <c r="D20" s="26" t="s">
        <v>1438</v>
      </c>
      <c r="F20" t="s">
        <v>1454</v>
      </c>
      <c r="G20" s="6" t="s">
        <v>1455</v>
      </c>
      <c r="H20">
        <v>2.1680999999999999</v>
      </c>
      <c r="I20">
        <v>2.1680999999999999</v>
      </c>
      <c r="J20">
        <v>2.3000799999999999</v>
      </c>
      <c r="K20">
        <v>2.0499999999999998</v>
      </c>
      <c r="L20">
        <v>2.25</v>
      </c>
      <c r="M20">
        <v>2.35</v>
      </c>
      <c r="N20">
        <v>1.77</v>
      </c>
    </row>
    <row r="21" spans="3:14" x14ac:dyDescent="0.2">
      <c r="C21" s="25" t="s">
        <v>46</v>
      </c>
      <c r="D21" s="26" t="s">
        <v>1439</v>
      </c>
      <c r="F21" s="6" t="s">
        <v>1456</v>
      </c>
      <c r="G21" s="6" t="s">
        <v>1465</v>
      </c>
      <c r="H21">
        <v>0.2949</v>
      </c>
      <c r="I21">
        <v>0.36870000000000003</v>
      </c>
      <c r="J21">
        <v>0.24336199999999999</v>
      </c>
    </row>
    <row r="22" spans="3:14" x14ac:dyDescent="0.2">
      <c r="C22" s="25" t="s">
        <v>87</v>
      </c>
      <c r="D22" s="26" t="s">
        <v>1440</v>
      </c>
      <c r="F22" s="6" t="s">
        <v>1457</v>
      </c>
      <c r="G22" s="6" t="s">
        <v>1466</v>
      </c>
    </row>
    <row r="23" spans="3:14" x14ac:dyDescent="0.2">
      <c r="C23" s="25" t="s">
        <v>1441</v>
      </c>
      <c r="D23" s="26" t="s">
        <v>1442</v>
      </c>
    </row>
    <row r="24" spans="3:14" x14ac:dyDescent="0.2">
      <c r="C24" s="25" t="s">
        <v>1443</v>
      </c>
      <c r="D24" s="26" t="s">
        <v>1444</v>
      </c>
    </row>
    <row r="25" spans="3:14" x14ac:dyDescent="0.2">
      <c r="C25" s="25" t="s">
        <v>89</v>
      </c>
      <c r="D25" s="26" t="s">
        <v>1445</v>
      </c>
    </row>
    <row r="26" spans="3:14" x14ac:dyDescent="0.2">
      <c r="C26" s="25" t="s">
        <v>91</v>
      </c>
      <c r="D26" s="26" t="s">
        <v>1446</v>
      </c>
    </row>
    <row r="27" spans="3:14" x14ac:dyDescent="0.2">
      <c r="C27" s="25" t="s">
        <v>97</v>
      </c>
      <c r="D27" s="26" t="s">
        <v>1447</v>
      </c>
    </row>
    <row r="28" spans="3:14" ht="20.25" x14ac:dyDescent="0.3">
      <c r="F28" s="32" t="s">
        <v>1472</v>
      </c>
    </row>
    <row r="38" spans="7:7" x14ac:dyDescent="0.2">
      <c r="G38" s="4"/>
    </row>
    <row r="39" spans="7:7" x14ac:dyDescent="0.2">
      <c r="G39" s="4"/>
    </row>
    <row r="40" spans="7:7" x14ac:dyDescent="0.2">
      <c r="G40" s="4"/>
    </row>
    <row r="41" spans="7:7" x14ac:dyDescent="0.2">
      <c r="G41" s="4"/>
    </row>
    <row r="42" spans="7:7" x14ac:dyDescent="0.2">
      <c r="G42" s="4"/>
    </row>
    <row r="43" spans="7:7" x14ac:dyDescent="0.2">
      <c r="G43" s="4"/>
    </row>
  </sheetData>
  <mergeCells count="6">
    <mergeCell ref="C3:F3"/>
    <mergeCell ref="C7:F7"/>
    <mergeCell ref="G13:H13"/>
    <mergeCell ref="C13:D13"/>
    <mergeCell ref="C19:D19"/>
    <mergeCell ref="E13:F13"/>
  </mergeCells>
  <phoneticPr fontId="3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2C51A-ED9C-4DA6-86B6-2190F6DA5030}">
  <sheetPr codeName="Hoja1">
    <tabColor theme="8"/>
  </sheetPr>
  <dimension ref="A1:AM385"/>
  <sheetViews>
    <sheetView workbookViewId="0">
      <selection activeCell="B32" sqref="B32"/>
    </sheetView>
  </sheetViews>
  <sheetFormatPr baseColWidth="10" defaultRowHeight="12.75" x14ac:dyDescent="0.2"/>
  <cols>
    <col min="1" max="1" width="13.7109375" style="4" bestFit="1" customWidth="1"/>
    <col min="2" max="2" width="72.140625" bestFit="1" customWidth="1"/>
    <col min="3" max="3" width="100.7109375" bestFit="1" customWidth="1"/>
    <col min="4" max="4" width="21" bestFit="1" customWidth="1"/>
    <col min="5" max="5" width="16" bestFit="1" customWidth="1"/>
    <col min="6" max="6" width="56.85546875" bestFit="1" customWidth="1"/>
    <col min="7" max="7" width="15.28515625" bestFit="1" customWidth="1"/>
    <col min="8" max="8" width="17.5703125" bestFit="1" customWidth="1"/>
    <col min="9" max="9" width="15.5703125" bestFit="1" customWidth="1"/>
    <col min="10" max="10" width="14.140625" bestFit="1" customWidth="1"/>
    <col min="11" max="11" width="20.42578125" bestFit="1" customWidth="1"/>
    <col min="12" max="12" width="12.28515625" bestFit="1" customWidth="1"/>
    <col min="13" max="13" width="14.7109375" bestFit="1" customWidth="1"/>
    <col min="14" max="14" width="15.7109375" bestFit="1" customWidth="1"/>
    <col min="15" max="15" width="14.140625" bestFit="1" customWidth="1"/>
    <col min="16" max="16" width="14.28515625" bestFit="1" customWidth="1"/>
    <col min="17" max="17" width="12.140625" bestFit="1" customWidth="1"/>
    <col min="18" max="18" width="18.5703125" bestFit="1" customWidth="1"/>
    <col min="19" max="19" width="16.140625" bestFit="1" customWidth="1"/>
    <col min="20" max="20" width="17.140625" bestFit="1" customWidth="1"/>
    <col min="21" max="21" width="16.42578125" bestFit="1" customWidth="1"/>
    <col min="22" max="22" width="22.42578125" bestFit="1" customWidth="1"/>
    <col min="23" max="23" width="14.140625" bestFit="1" customWidth="1"/>
    <col min="24" max="24" width="9.7109375" bestFit="1" customWidth="1"/>
    <col min="25" max="25" width="31.140625" bestFit="1" customWidth="1"/>
    <col min="26" max="26" width="26.7109375" bestFit="1" customWidth="1"/>
    <col min="27" max="27" width="26" bestFit="1" customWidth="1"/>
    <col min="28" max="28" width="15.140625" bestFit="1" customWidth="1"/>
    <col min="29" max="29" width="19.5703125" bestFit="1" customWidth="1"/>
    <col min="30" max="30" width="16.7109375" bestFit="1" customWidth="1"/>
    <col min="31" max="31" width="15.85546875" bestFit="1" customWidth="1"/>
    <col min="32" max="32" width="69.5703125" bestFit="1" customWidth="1"/>
    <col min="33" max="33" width="20.140625" bestFit="1" customWidth="1"/>
    <col min="34" max="34" width="18" bestFit="1" customWidth="1"/>
    <col min="35" max="35" width="85.5703125" bestFit="1" customWidth="1"/>
    <col min="36" max="36" width="29" bestFit="1" customWidth="1"/>
    <col min="37" max="37" width="25.140625" bestFit="1" customWidth="1"/>
    <col min="38" max="38" width="11.28515625" bestFit="1" customWidth="1"/>
    <col min="39" max="39" width="15" bestFit="1" customWidth="1"/>
  </cols>
  <sheetData>
    <row r="1" spans="1:39" x14ac:dyDescent="0.2">
      <c r="A1" s="33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</row>
    <row r="2" spans="1:39" x14ac:dyDescent="0.2">
      <c r="A2" s="4" t="s">
        <v>39</v>
      </c>
      <c r="B2" s="4" t="s">
        <v>1539</v>
      </c>
      <c r="C2" s="4" t="s">
        <v>1690</v>
      </c>
      <c r="D2" s="4" t="s">
        <v>40</v>
      </c>
      <c r="E2" s="4" t="s">
        <v>41</v>
      </c>
      <c r="F2" t="s">
        <v>42</v>
      </c>
      <c r="G2" t="s">
        <v>43</v>
      </c>
      <c r="H2" t="s">
        <v>44</v>
      </c>
      <c r="I2" t="s">
        <v>40</v>
      </c>
      <c r="J2" t="s">
        <v>40</v>
      </c>
      <c r="K2" t="s">
        <v>40</v>
      </c>
      <c r="L2" t="s">
        <v>40</v>
      </c>
      <c r="M2">
        <v>11342.560000000001</v>
      </c>
      <c r="N2">
        <v>15000</v>
      </c>
      <c r="O2">
        <v>2</v>
      </c>
      <c r="P2">
        <v>30</v>
      </c>
      <c r="Q2" t="s">
        <v>45</v>
      </c>
      <c r="R2" t="b">
        <v>0</v>
      </c>
      <c r="S2" t="s">
        <v>46</v>
      </c>
      <c r="T2" s="1">
        <v>45350</v>
      </c>
      <c r="U2" t="s">
        <v>40</v>
      </c>
      <c r="V2" t="s">
        <v>47</v>
      </c>
      <c r="W2" t="s">
        <v>40</v>
      </c>
      <c r="X2">
        <v>2</v>
      </c>
      <c r="Y2" t="s">
        <v>48</v>
      </c>
      <c r="Z2" t="s">
        <v>40</v>
      </c>
      <c r="AA2" t="s">
        <v>40</v>
      </c>
      <c r="AB2">
        <v>0</v>
      </c>
      <c r="AC2" t="s">
        <v>49</v>
      </c>
      <c r="AD2" t="s">
        <v>40</v>
      </c>
      <c r="AE2" t="s">
        <v>40</v>
      </c>
      <c r="AF2" t="s">
        <v>40</v>
      </c>
      <c r="AG2" t="s">
        <v>40</v>
      </c>
      <c r="AH2" t="s">
        <v>40</v>
      </c>
      <c r="AI2" t="s">
        <v>40</v>
      </c>
      <c r="AJ2" t="s">
        <v>40</v>
      </c>
      <c r="AK2" t="s">
        <v>40</v>
      </c>
      <c r="AL2" t="s">
        <v>40</v>
      </c>
      <c r="AM2" t="s">
        <v>40</v>
      </c>
    </row>
    <row r="3" spans="1:39" x14ac:dyDescent="0.2">
      <c r="A3" s="4" t="s">
        <v>50</v>
      </c>
      <c r="B3" s="4" t="s">
        <v>1540</v>
      </c>
      <c r="C3" s="4" t="s">
        <v>1691</v>
      </c>
      <c r="D3" s="4" t="s">
        <v>51</v>
      </c>
      <c r="E3" s="4" t="s">
        <v>51</v>
      </c>
      <c r="F3" t="s">
        <v>42</v>
      </c>
      <c r="G3" t="s">
        <v>52</v>
      </c>
      <c r="H3" t="s">
        <v>53</v>
      </c>
      <c r="I3" t="s">
        <v>40</v>
      </c>
      <c r="J3" t="s">
        <v>40</v>
      </c>
      <c r="K3" t="s">
        <v>40</v>
      </c>
      <c r="L3" t="s">
        <v>40</v>
      </c>
      <c r="M3">
        <v>4129.87</v>
      </c>
      <c r="N3">
        <v>5000</v>
      </c>
      <c r="O3">
        <v>2</v>
      </c>
      <c r="P3">
        <v>30</v>
      </c>
      <c r="Q3" t="s">
        <v>54</v>
      </c>
      <c r="R3" t="b">
        <v>0</v>
      </c>
      <c r="S3" t="s">
        <v>46</v>
      </c>
      <c r="T3" s="1">
        <v>45299</v>
      </c>
      <c r="U3" t="s">
        <v>40</v>
      </c>
      <c r="V3" t="s">
        <v>47</v>
      </c>
      <c r="W3" t="s">
        <v>40</v>
      </c>
      <c r="X3">
        <v>2</v>
      </c>
      <c r="Y3" t="s">
        <v>48</v>
      </c>
      <c r="Z3" t="s">
        <v>40</v>
      </c>
      <c r="AA3" t="s">
        <v>40</v>
      </c>
      <c r="AB3">
        <v>0</v>
      </c>
      <c r="AC3" t="s">
        <v>49</v>
      </c>
      <c r="AD3" t="s">
        <v>40</v>
      </c>
      <c r="AE3" t="s">
        <v>40</v>
      </c>
      <c r="AF3" t="s">
        <v>40</v>
      </c>
      <c r="AG3" t="s">
        <v>40</v>
      </c>
      <c r="AH3" t="s">
        <v>40</v>
      </c>
      <c r="AI3" t="s">
        <v>40</v>
      </c>
      <c r="AJ3" t="s">
        <v>40</v>
      </c>
      <c r="AK3" t="s">
        <v>40</v>
      </c>
      <c r="AL3" t="s">
        <v>40</v>
      </c>
      <c r="AM3" t="s">
        <v>40</v>
      </c>
    </row>
    <row r="4" spans="1:39" x14ac:dyDescent="0.2">
      <c r="A4" s="4" t="s">
        <v>55</v>
      </c>
      <c r="B4" s="4" t="s">
        <v>1541</v>
      </c>
      <c r="C4" s="4" t="s">
        <v>1692</v>
      </c>
      <c r="D4" s="4" t="s">
        <v>51</v>
      </c>
      <c r="E4" s="4" t="s">
        <v>51</v>
      </c>
      <c r="F4" t="s">
        <v>40</v>
      </c>
      <c r="G4" t="s">
        <v>56</v>
      </c>
      <c r="H4" t="s">
        <v>57</v>
      </c>
      <c r="I4" t="s">
        <v>40</v>
      </c>
      <c r="J4" t="s">
        <v>40</v>
      </c>
      <c r="K4" t="s">
        <v>40</v>
      </c>
      <c r="L4" t="s">
        <v>40</v>
      </c>
      <c r="M4">
        <v>56.35</v>
      </c>
      <c r="N4">
        <v>1000</v>
      </c>
      <c r="O4">
        <v>2</v>
      </c>
      <c r="P4">
        <v>30</v>
      </c>
      <c r="Q4" t="s">
        <v>58</v>
      </c>
      <c r="R4" t="b">
        <v>0</v>
      </c>
      <c r="S4" t="s">
        <v>59</v>
      </c>
      <c r="T4" s="1">
        <v>44448</v>
      </c>
      <c r="U4" t="s">
        <v>40</v>
      </c>
      <c r="V4" t="s">
        <v>47</v>
      </c>
      <c r="W4" t="s">
        <v>40</v>
      </c>
      <c r="X4">
        <v>0</v>
      </c>
      <c r="Y4" t="s">
        <v>40</v>
      </c>
      <c r="Z4" t="s">
        <v>40</v>
      </c>
      <c r="AA4" t="s">
        <v>40</v>
      </c>
      <c r="AB4">
        <v>0</v>
      </c>
      <c r="AC4" t="s">
        <v>49</v>
      </c>
      <c r="AD4" t="s">
        <v>40</v>
      </c>
      <c r="AE4" t="s">
        <v>40</v>
      </c>
      <c r="AF4" t="s">
        <v>40</v>
      </c>
      <c r="AG4" t="s">
        <v>40</v>
      </c>
      <c r="AH4" t="s">
        <v>40</v>
      </c>
      <c r="AI4" t="s">
        <v>40</v>
      </c>
      <c r="AJ4" t="s">
        <v>40</v>
      </c>
      <c r="AK4" t="s">
        <v>40</v>
      </c>
      <c r="AL4" t="s">
        <v>40</v>
      </c>
      <c r="AM4" t="s">
        <v>40</v>
      </c>
    </row>
    <row r="5" spans="1:39" x14ac:dyDescent="0.2">
      <c r="A5" s="4" t="s">
        <v>60</v>
      </c>
      <c r="B5" s="4" t="s">
        <v>61</v>
      </c>
      <c r="C5" s="4" t="s">
        <v>1693</v>
      </c>
      <c r="D5" s="4" t="s">
        <v>62</v>
      </c>
      <c r="E5" s="4" t="s">
        <v>51</v>
      </c>
      <c r="F5" t="s">
        <v>40</v>
      </c>
      <c r="G5" t="s">
        <v>63</v>
      </c>
      <c r="H5" t="s">
        <v>64</v>
      </c>
      <c r="I5" t="s">
        <v>40</v>
      </c>
      <c r="J5" t="s">
        <v>40</v>
      </c>
      <c r="K5" t="s">
        <v>40</v>
      </c>
      <c r="L5" t="s">
        <v>40</v>
      </c>
      <c r="M5">
        <v>14069.66</v>
      </c>
      <c r="N5">
        <v>15000</v>
      </c>
      <c r="O5">
        <v>2</v>
      </c>
      <c r="P5">
        <v>30</v>
      </c>
      <c r="Q5" t="s">
        <v>65</v>
      </c>
      <c r="R5" t="b">
        <v>1</v>
      </c>
      <c r="S5" t="s">
        <v>46</v>
      </c>
      <c r="T5" s="1">
        <v>45366</v>
      </c>
      <c r="U5" t="s">
        <v>40</v>
      </c>
      <c r="V5" t="s">
        <v>47</v>
      </c>
      <c r="W5" t="s">
        <v>40</v>
      </c>
      <c r="X5">
        <v>2</v>
      </c>
      <c r="Y5" t="s">
        <v>48</v>
      </c>
      <c r="Z5" t="s">
        <v>40</v>
      </c>
      <c r="AA5" t="s">
        <v>40</v>
      </c>
      <c r="AB5">
        <v>0</v>
      </c>
      <c r="AC5" t="s">
        <v>49</v>
      </c>
      <c r="AD5" t="s">
        <v>40</v>
      </c>
      <c r="AE5" t="s">
        <v>40</v>
      </c>
      <c r="AF5" t="s">
        <v>40</v>
      </c>
      <c r="AG5" t="s">
        <v>40</v>
      </c>
      <c r="AH5" t="s">
        <v>40</v>
      </c>
      <c r="AI5" t="s">
        <v>40</v>
      </c>
      <c r="AJ5" t="s">
        <v>40</v>
      </c>
      <c r="AK5" t="s">
        <v>40</v>
      </c>
      <c r="AL5" t="s">
        <v>40</v>
      </c>
      <c r="AM5" t="s">
        <v>40</v>
      </c>
    </row>
    <row r="6" spans="1:39" x14ac:dyDescent="0.2">
      <c r="A6" s="4" t="s">
        <v>66</v>
      </c>
      <c r="B6" s="4" t="s">
        <v>67</v>
      </c>
      <c r="C6" s="4" t="s">
        <v>40</v>
      </c>
      <c r="D6" s="4" t="s">
        <v>51</v>
      </c>
      <c r="E6" s="4" t="s">
        <v>51</v>
      </c>
      <c r="F6" t="s">
        <v>40</v>
      </c>
      <c r="G6" t="s">
        <v>66</v>
      </c>
      <c r="H6" t="s">
        <v>40</v>
      </c>
      <c r="I6" t="s">
        <v>40</v>
      </c>
      <c r="J6" t="s">
        <v>40</v>
      </c>
      <c r="K6" t="s">
        <v>40</v>
      </c>
      <c r="L6" t="s">
        <v>40</v>
      </c>
      <c r="M6">
        <v>1877.2900000000002</v>
      </c>
      <c r="N6">
        <v>1000</v>
      </c>
      <c r="O6">
        <v>2</v>
      </c>
      <c r="P6">
        <v>30</v>
      </c>
      <c r="Q6" t="s">
        <v>68</v>
      </c>
      <c r="R6" t="b">
        <v>0</v>
      </c>
      <c r="S6" t="s">
        <v>46</v>
      </c>
      <c r="T6" s="1">
        <v>45335</v>
      </c>
      <c r="U6" t="s">
        <v>40</v>
      </c>
      <c r="V6" t="s">
        <v>47</v>
      </c>
      <c r="W6" t="s">
        <v>1474</v>
      </c>
      <c r="X6">
        <v>0</v>
      </c>
      <c r="Y6" t="s">
        <v>40</v>
      </c>
      <c r="Z6" t="s">
        <v>40</v>
      </c>
      <c r="AA6" t="s">
        <v>40</v>
      </c>
      <c r="AB6">
        <v>0</v>
      </c>
      <c r="AC6" t="s">
        <v>49</v>
      </c>
      <c r="AD6" t="s">
        <v>40</v>
      </c>
      <c r="AE6" t="s">
        <v>40</v>
      </c>
      <c r="AF6" t="s">
        <v>40</v>
      </c>
      <c r="AG6" t="s">
        <v>40</v>
      </c>
      <c r="AH6" t="s">
        <v>40</v>
      </c>
      <c r="AI6" t="s">
        <v>40</v>
      </c>
      <c r="AJ6" t="s">
        <v>40</v>
      </c>
      <c r="AK6" t="s">
        <v>40</v>
      </c>
      <c r="AL6" t="s">
        <v>40</v>
      </c>
      <c r="AM6" t="s">
        <v>40</v>
      </c>
    </row>
    <row r="7" spans="1:39" x14ac:dyDescent="0.2">
      <c r="A7" s="4" t="s">
        <v>69</v>
      </c>
      <c r="B7" s="4" t="s">
        <v>70</v>
      </c>
      <c r="C7" s="4" t="s">
        <v>1694</v>
      </c>
      <c r="D7" s="4" t="s">
        <v>51</v>
      </c>
      <c r="E7" s="4" t="s">
        <v>51</v>
      </c>
      <c r="F7" t="s">
        <v>42</v>
      </c>
      <c r="G7" t="s">
        <v>71</v>
      </c>
      <c r="H7" t="s">
        <v>72</v>
      </c>
      <c r="I7" t="s">
        <v>40</v>
      </c>
      <c r="J7" t="s">
        <v>40</v>
      </c>
      <c r="K7" t="s">
        <v>40</v>
      </c>
      <c r="L7" t="s">
        <v>40</v>
      </c>
      <c r="M7">
        <v>2302.1600000000003</v>
      </c>
      <c r="N7">
        <v>10000</v>
      </c>
      <c r="O7">
        <v>2</v>
      </c>
      <c r="P7">
        <v>30</v>
      </c>
      <c r="Q7" t="s">
        <v>73</v>
      </c>
      <c r="R7" t="b">
        <v>0</v>
      </c>
      <c r="S7" t="s">
        <v>46</v>
      </c>
      <c r="T7" s="1">
        <v>45371</v>
      </c>
      <c r="U7" t="s">
        <v>40</v>
      </c>
      <c r="V7" t="s">
        <v>47</v>
      </c>
      <c r="W7" t="s">
        <v>40</v>
      </c>
      <c r="X7">
        <v>2</v>
      </c>
      <c r="Y7" t="s">
        <v>48</v>
      </c>
      <c r="Z7" t="s">
        <v>40</v>
      </c>
      <c r="AA7" t="s">
        <v>40</v>
      </c>
      <c r="AB7">
        <v>0</v>
      </c>
      <c r="AC7" t="s">
        <v>49</v>
      </c>
      <c r="AD7" t="s">
        <v>40</v>
      </c>
      <c r="AE7" t="s">
        <v>40</v>
      </c>
      <c r="AF7" t="s">
        <v>40</v>
      </c>
      <c r="AG7" t="s">
        <v>40</v>
      </c>
      <c r="AH7" t="s">
        <v>40</v>
      </c>
      <c r="AI7" t="s">
        <v>40</v>
      </c>
      <c r="AJ7" t="s">
        <v>40</v>
      </c>
      <c r="AK7" t="s">
        <v>40</v>
      </c>
      <c r="AL7" t="s">
        <v>40</v>
      </c>
      <c r="AM7" t="s">
        <v>40</v>
      </c>
    </row>
    <row r="8" spans="1:39" x14ac:dyDescent="0.2">
      <c r="A8" s="4" t="s">
        <v>74</v>
      </c>
      <c r="B8" s="4" t="s">
        <v>1542</v>
      </c>
      <c r="C8" s="4" t="s">
        <v>1695</v>
      </c>
      <c r="D8" s="4" t="s">
        <v>51</v>
      </c>
      <c r="E8" s="4" t="s">
        <v>51</v>
      </c>
      <c r="F8" t="s">
        <v>40</v>
      </c>
      <c r="G8" t="s">
        <v>75</v>
      </c>
      <c r="H8" t="s">
        <v>76</v>
      </c>
      <c r="I8" t="s">
        <v>40</v>
      </c>
      <c r="J8" t="s">
        <v>40</v>
      </c>
      <c r="K8" t="s">
        <v>40</v>
      </c>
      <c r="L8" t="s">
        <v>40</v>
      </c>
      <c r="M8">
        <v>1.05</v>
      </c>
      <c r="N8">
        <v>100</v>
      </c>
      <c r="O8">
        <v>2</v>
      </c>
      <c r="P8">
        <v>30</v>
      </c>
      <c r="Q8" t="s">
        <v>77</v>
      </c>
      <c r="R8" t="b">
        <v>0</v>
      </c>
      <c r="S8" t="s">
        <v>59</v>
      </c>
      <c r="T8" s="1">
        <v>44448</v>
      </c>
      <c r="U8" t="s">
        <v>40</v>
      </c>
      <c r="V8" t="s">
        <v>47</v>
      </c>
      <c r="W8" t="s">
        <v>40</v>
      </c>
      <c r="X8">
        <v>0</v>
      </c>
      <c r="Y8" t="s">
        <v>40</v>
      </c>
      <c r="Z8" t="s">
        <v>40</v>
      </c>
      <c r="AA8" t="s">
        <v>40</v>
      </c>
      <c r="AB8">
        <v>0</v>
      </c>
      <c r="AC8" t="s">
        <v>49</v>
      </c>
      <c r="AD8" t="s">
        <v>40</v>
      </c>
      <c r="AE8" t="s">
        <v>40</v>
      </c>
      <c r="AF8" t="s">
        <v>40</v>
      </c>
      <c r="AG8" t="s">
        <v>40</v>
      </c>
      <c r="AH8" t="s">
        <v>40</v>
      </c>
      <c r="AI8" t="s">
        <v>40</v>
      </c>
      <c r="AJ8" t="s">
        <v>40</v>
      </c>
      <c r="AK8" t="s">
        <v>40</v>
      </c>
      <c r="AL8" t="s">
        <v>40</v>
      </c>
      <c r="AM8" t="s">
        <v>40</v>
      </c>
    </row>
    <row r="9" spans="1:39" x14ac:dyDescent="0.2">
      <c r="A9" s="4" t="s">
        <v>78</v>
      </c>
      <c r="B9" s="4" t="s">
        <v>1543</v>
      </c>
      <c r="C9" s="4" t="s">
        <v>1696</v>
      </c>
      <c r="D9" s="4" t="s">
        <v>51</v>
      </c>
      <c r="E9" s="4" t="s">
        <v>51</v>
      </c>
      <c r="F9" t="s">
        <v>79</v>
      </c>
      <c r="G9" t="s">
        <v>80</v>
      </c>
      <c r="H9" t="s">
        <v>81</v>
      </c>
      <c r="I9" t="s">
        <v>40</v>
      </c>
      <c r="J9" t="s">
        <v>40</v>
      </c>
      <c r="K9" t="s">
        <v>40</v>
      </c>
      <c r="L9" t="s">
        <v>40</v>
      </c>
      <c r="M9">
        <v>1272.8800000000001</v>
      </c>
      <c r="N9">
        <v>500</v>
      </c>
      <c r="O9">
        <v>2</v>
      </c>
      <c r="P9">
        <v>30</v>
      </c>
      <c r="Q9" t="s">
        <v>82</v>
      </c>
      <c r="R9" t="b">
        <v>0</v>
      </c>
      <c r="S9" t="s">
        <v>46</v>
      </c>
      <c r="T9" s="1">
        <v>45539</v>
      </c>
      <c r="U9" t="s">
        <v>40</v>
      </c>
      <c r="V9" t="s">
        <v>47</v>
      </c>
      <c r="W9" t="s">
        <v>40</v>
      </c>
      <c r="X9">
        <v>0</v>
      </c>
      <c r="Y9" t="s">
        <v>40</v>
      </c>
      <c r="Z9" t="s">
        <v>40</v>
      </c>
      <c r="AA9" t="s">
        <v>40</v>
      </c>
      <c r="AB9">
        <v>0</v>
      </c>
      <c r="AC9" t="s">
        <v>49</v>
      </c>
      <c r="AD9" t="s">
        <v>40</v>
      </c>
      <c r="AE9" t="s">
        <v>40</v>
      </c>
      <c r="AF9" t="s">
        <v>40</v>
      </c>
      <c r="AG9" t="s">
        <v>40</v>
      </c>
      <c r="AH9" t="s">
        <v>40</v>
      </c>
      <c r="AI9" t="s">
        <v>40</v>
      </c>
      <c r="AJ9" t="s">
        <v>40</v>
      </c>
      <c r="AK9" t="s">
        <v>40</v>
      </c>
      <c r="AL9" t="s">
        <v>40</v>
      </c>
      <c r="AM9" t="s">
        <v>40</v>
      </c>
    </row>
    <row r="10" spans="1:39" x14ac:dyDescent="0.2">
      <c r="A10" s="4" t="s">
        <v>83</v>
      </c>
      <c r="B10" s="4" t="s">
        <v>1544</v>
      </c>
      <c r="C10" s="4" t="s">
        <v>1697</v>
      </c>
      <c r="D10" s="4" t="s">
        <v>51</v>
      </c>
      <c r="E10" s="4" t="s">
        <v>51</v>
      </c>
      <c r="F10" t="s">
        <v>84</v>
      </c>
      <c r="G10" t="s">
        <v>85</v>
      </c>
      <c r="H10" t="s">
        <v>86</v>
      </c>
      <c r="I10" t="s">
        <v>40</v>
      </c>
      <c r="J10" t="s">
        <v>40</v>
      </c>
      <c r="K10" t="s">
        <v>40</v>
      </c>
      <c r="L10" t="s">
        <v>40</v>
      </c>
      <c r="M10">
        <v>135.89000000000001</v>
      </c>
      <c r="N10">
        <v>200</v>
      </c>
      <c r="O10">
        <v>2</v>
      </c>
      <c r="P10">
        <v>30</v>
      </c>
      <c r="Q10" t="s">
        <v>77</v>
      </c>
      <c r="R10" t="b">
        <v>0</v>
      </c>
      <c r="S10" t="s">
        <v>87</v>
      </c>
      <c r="T10" s="1">
        <v>45306</v>
      </c>
      <c r="U10" t="s">
        <v>40</v>
      </c>
      <c r="V10" t="s">
        <v>47</v>
      </c>
      <c r="W10" t="s">
        <v>40</v>
      </c>
      <c r="X10">
        <v>0</v>
      </c>
      <c r="Y10" t="s">
        <v>40</v>
      </c>
      <c r="Z10" t="s">
        <v>40</v>
      </c>
      <c r="AA10" t="s">
        <v>40</v>
      </c>
      <c r="AB10">
        <v>0</v>
      </c>
      <c r="AC10" t="s">
        <v>49</v>
      </c>
      <c r="AD10" t="s">
        <v>40</v>
      </c>
      <c r="AE10" t="s">
        <v>40</v>
      </c>
      <c r="AF10" t="s">
        <v>40</v>
      </c>
      <c r="AG10" t="s">
        <v>40</v>
      </c>
      <c r="AH10" t="s">
        <v>40</v>
      </c>
      <c r="AI10" t="s">
        <v>40</v>
      </c>
      <c r="AJ10" t="s">
        <v>40</v>
      </c>
      <c r="AK10" t="s">
        <v>40</v>
      </c>
      <c r="AL10" t="s">
        <v>40</v>
      </c>
      <c r="AM10" t="s">
        <v>40</v>
      </c>
    </row>
    <row r="11" spans="1:39" x14ac:dyDescent="0.2">
      <c r="A11" s="4" t="s">
        <v>89</v>
      </c>
      <c r="B11" s="4" t="s">
        <v>88</v>
      </c>
      <c r="C11" s="4" t="s">
        <v>40</v>
      </c>
      <c r="D11" s="4" t="s">
        <v>40</v>
      </c>
      <c r="E11" s="4" t="s">
        <v>40</v>
      </c>
      <c r="F11" t="s">
        <v>40</v>
      </c>
      <c r="G11" t="s">
        <v>89</v>
      </c>
      <c r="H11" t="s">
        <v>40</v>
      </c>
      <c r="I11" t="s">
        <v>40</v>
      </c>
      <c r="J11" t="s">
        <v>40</v>
      </c>
      <c r="K11" t="s">
        <v>40</v>
      </c>
      <c r="L11" t="s">
        <v>40</v>
      </c>
      <c r="M11">
        <v>96.9</v>
      </c>
      <c r="N11">
        <v>100</v>
      </c>
      <c r="O11">
        <v>2</v>
      </c>
      <c r="P11">
        <v>30</v>
      </c>
      <c r="Q11" t="s">
        <v>90</v>
      </c>
      <c r="R11" t="b">
        <v>0</v>
      </c>
      <c r="S11" t="s">
        <v>46</v>
      </c>
      <c r="T11" s="1">
        <v>45608</v>
      </c>
      <c r="U11" t="s">
        <v>40</v>
      </c>
      <c r="V11" t="s">
        <v>47</v>
      </c>
      <c r="W11" t="s">
        <v>40</v>
      </c>
      <c r="X11">
        <v>0</v>
      </c>
      <c r="Y11" t="s">
        <v>40</v>
      </c>
      <c r="Z11" t="s">
        <v>40</v>
      </c>
      <c r="AA11" t="s">
        <v>40</v>
      </c>
      <c r="AB11">
        <v>0</v>
      </c>
      <c r="AC11" t="s">
        <v>49</v>
      </c>
      <c r="AD11" t="s">
        <v>40</v>
      </c>
      <c r="AE11" t="s">
        <v>40</v>
      </c>
      <c r="AF11" t="s">
        <v>40</v>
      </c>
      <c r="AG11" t="s">
        <v>40</v>
      </c>
      <c r="AH11" t="s">
        <v>40</v>
      </c>
      <c r="AI11" t="s">
        <v>40</v>
      </c>
      <c r="AJ11" t="s">
        <v>40</v>
      </c>
      <c r="AK11" t="s">
        <v>40</v>
      </c>
      <c r="AL11" t="s">
        <v>40</v>
      </c>
      <c r="AM11" t="s">
        <v>40</v>
      </c>
    </row>
    <row r="12" spans="1:39" x14ac:dyDescent="0.2">
      <c r="A12" s="4" t="s">
        <v>91</v>
      </c>
      <c r="B12" s="4" t="s">
        <v>1545</v>
      </c>
      <c r="C12" s="4" t="s">
        <v>92</v>
      </c>
      <c r="D12" s="4" t="s">
        <v>51</v>
      </c>
      <c r="E12" s="4" t="s">
        <v>51</v>
      </c>
      <c r="F12" t="s">
        <v>93</v>
      </c>
      <c r="G12" t="s">
        <v>94</v>
      </c>
      <c r="H12" t="s">
        <v>95</v>
      </c>
      <c r="I12" t="s">
        <v>40</v>
      </c>
      <c r="J12" t="s">
        <v>40</v>
      </c>
      <c r="K12" t="s">
        <v>40</v>
      </c>
      <c r="L12" t="s">
        <v>40</v>
      </c>
      <c r="M12">
        <v>1452.78</v>
      </c>
      <c r="N12">
        <v>10000</v>
      </c>
      <c r="O12">
        <v>2</v>
      </c>
      <c r="P12">
        <v>30</v>
      </c>
      <c r="Q12" t="s">
        <v>96</v>
      </c>
      <c r="R12" t="b">
        <v>0</v>
      </c>
      <c r="S12" t="s">
        <v>46</v>
      </c>
      <c r="T12" s="1">
        <v>45363</v>
      </c>
      <c r="U12" t="s">
        <v>40</v>
      </c>
      <c r="V12" t="s">
        <v>47</v>
      </c>
      <c r="W12" t="s">
        <v>40</v>
      </c>
      <c r="X12">
        <v>0</v>
      </c>
      <c r="Y12" t="s">
        <v>40</v>
      </c>
      <c r="Z12" t="s">
        <v>40</v>
      </c>
      <c r="AA12" t="s">
        <v>40</v>
      </c>
      <c r="AB12">
        <v>0</v>
      </c>
      <c r="AC12" t="s">
        <v>49</v>
      </c>
      <c r="AD12" t="s">
        <v>40</v>
      </c>
      <c r="AE12" t="s">
        <v>40</v>
      </c>
      <c r="AF12" t="s">
        <v>40</v>
      </c>
      <c r="AG12" t="s">
        <v>40</v>
      </c>
      <c r="AH12" t="s">
        <v>40</v>
      </c>
      <c r="AI12" t="s">
        <v>40</v>
      </c>
      <c r="AJ12" t="s">
        <v>40</v>
      </c>
      <c r="AK12" t="s">
        <v>40</v>
      </c>
      <c r="AL12" t="s">
        <v>40</v>
      </c>
      <c r="AM12" t="s">
        <v>40</v>
      </c>
    </row>
    <row r="13" spans="1:39" x14ac:dyDescent="0.2">
      <c r="A13" s="4" t="s">
        <v>97</v>
      </c>
      <c r="B13" s="4" t="s">
        <v>1546</v>
      </c>
      <c r="C13" s="4" t="s">
        <v>1698</v>
      </c>
      <c r="D13" s="4" t="s">
        <v>62</v>
      </c>
      <c r="E13" s="4" t="s">
        <v>51</v>
      </c>
      <c r="F13" t="s">
        <v>98</v>
      </c>
      <c r="G13" t="s">
        <v>99</v>
      </c>
      <c r="H13" t="s">
        <v>100</v>
      </c>
      <c r="I13" t="s">
        <v>40</v>
      </c>
      <c r="J13" t="s">
        <v>40</v>
      </c>
      <c r="K13" t="s">
        <v>40</v>
      </c>
      <c r="L13" t="s">
        <v>40</v>
      </c>
      <c r="M13">
        <v>0</v>
      </c>
      <c r="N13">
        <v>0</v>
      </c>
      <c r="O13">
        <v>2</v>
      </c>
      <c r="P13">
        <v>30</v>
      </c>
      <c r="Q13" t="s">
        <v>77</v>
      </c>
      <c r="R13" t="b">
        <v>0</v>
      </c>
      <c r="S13" t="s">
        <v>59</v>
      </c>
      <c r="T13" s="1">
        <v>44578</v>
      </c>
      <c r="U13" t="s">
        <v>40</v>
      </c>
      <c r="V13" t="s">
        <v>47</v>
      </c>
      <c r="W13" t="s">
        <v>40</v>
      </c>
      <c r="X13">
        <v>0</v>
      </c>
      <c r="Y13" t="s">
        <v>40</v>
      </c>
      <c r="Z13" t="s">
        <v>40</v>
      </c>
      <c r="AA13" t="s">
        <v>40</v>
      </c>
      <c r="AB13">
        <v>0</v>
      </c>
      <c r="AC13" t="s">
        <v>49</v>
      </c>
      <c r="AD13" t="s">
        <v>40</v>
      </c>
      <c r="AE13" t="s">
        <v>40</v>
      </c>
      <c r="AF13" t="s">
        <v>40</v>
      </c>
      <c r="AG13" t="s">
        <v>40</v>
      </c>
      <c r="AH13" t="s">
        <v>40</v>
      </c>
      <c r="AI13" t="s">
        <v>40</v>
      </c>
      <c r="AJ13" t="s">
        <v>40</v>
      </c>
      <c r="AK13" t="s">
        <v>40</v>
      </c>
      <c r="AL13" t="s">
        <v>40</v>
      </c>
      <c r="AM13" t="s">
        <v>40</v>
      </c>
    </row>
    <row r="14" spans="1:39" x14ac:dyDescent="0.2">
      <c r="A14" s="4" t="s">
        <v>101</v>
      </c>
      <c r="B14" s="4" t="s">
        <v>1547</v>
      </c>
      <c r="C14" s="4" t="s">
        <v>1699</v>
      </c>
      <c r="D14" s="4" t="s">
        <v>62</v>
      </c>
      <c r="E14" s="4" t="s">
        <v>51</v>
      </c>
      <c r="F14" t="s">
        <v>102</v>
      </c>
      <c r="G14" t="s">
        <v>103</v>
      </c>
      <c r="H14" t="s">
        <v>104</v>
      </c>
      <c r="I14" t="s">
        <v>40</v>
      </c>
      <c r="J14" t="s">
        <v>40</v>
      </c>
      <c r="K14" t="s">
        <v>40</v>
      </c>
      <c r="L14" t="s">
        <v>40</v>
      </c>
      <c r="M14">
        <v>40.85</v>
      </c>
      <c r="N14">
        <v>200</v>
      </c>
      <c r="O14">
        <v>2</v>
      </c>
      <c r="P14">
        <v>30</v>
      </c>
      <c r="Q14" t="s">
        <v>77</v>
      </c>
      <c r="R14" t="b">
        <v>0</v>
      </c>
      <c r="S14" t="s">
        <v>40</v>
      </c>
      <c r="T14" s="1">
        <v>45220</v>
      </c>
      <c r="U14" t="s">
        <v>40</v>
      </c>
      <c r="V14" t="s">
        <v>47</v>
      </c>
      <c r="W14" t="s">
        <v>40</v>
      </c>
      <c r="X14">
        <v>0</v>
      </c>
      <c r="Y14" t="s">
        <v>40</v>
      </c>
      <c r="Z14" t="s">
        <v>40</v>
      </c>
      <c r="AA14" t="s">
        <v>40</v>
      </c>
      <c r="AB14">
        <v>0</v>
      </c>
      <c r="AC14" t="s">
        <v>49</v>
      </c>
      <c r="AD14" t="s">
        <v>40</v>
      </c>
      <c r="AE14" t="s">
        <v>40</v>
      </c>
      <c r="AF14" t="s">
        <v>40</v>
      </c>
      <c r="AG14" t="s">
        <v>40</v>
      </c>
      <c r="AH14" t="s">
        <v>40</v>
      </c>
      <c r="AI14" t="s">
        <v>40</v>
      </c>
      <c r="AJ14" t="s">
        <v>40</v>
      </c>
      <c r="AK14" t="s">
        <v>40</v>
      </c>
      <c r="AL14" t="s">
        <v>40</v>
      </c>
      <c r="AM14" t="s">
        <v>40</v>
      </c>
    </row>
    <row r="15" spans="1:39" x14ac:dyDescent="0.2">
      <c r="A15" s="4" t="s">
        <v>105</v>
      </c>
      <c r="B15" s="4" t="s">
        <v>1548</v>
      </c>
      <c r="C15" s="4" t="s">
        <v>1700</v>
      </c>
      <c r="D15" s="4" t="s">
        <v>62</v>
      </c>
      <c r="E15" s="4" t="s">
        <v>51</v>
      </c>
      <c r="F15" t="s">
        <v>40</v>
      </c>
      <c r="G15" t="s">
        <v>106</v>
      </c>
      <c r="H15" t="s">
        <v>107</v>
      </c>
      <c r="I15" t="s">
        <v>40</v>
      </c>
      <c r="J15" t="s">
        <v>40</v>
      </c>
      <c r="K15" t="s">
        <v>40</v>
      </c>
      <c r="L15" t="s">
        <v>40</v>
      </c>
      <c r="M15">
        <v>57.190000000000005</v>
      </c>
      <c r="N15">
        <v>100</v>
      </c>
      <c r="O15">
        <v>1</v>
      </c>
      <c r="P15">
        <v>0</v>
      </c>
      <c r="Q15" t="s">
        <v>77</v>
      </c>
      <c r="R15" t="b">
        <v>0</v>
      </c>
      <c r="S15" t="s">
        <v>40</v>
      </c>
      <c r="T15" s="1">
        <v>44949</v>
      </c>
      <c r="U15" t="s">
        <v>40</v>
      </c>
      <c r="V15" t="s">
        <v>47</v>
      </c>
      <c r="W15" t="s">
        <v>40</v>
      </c>
      <c r="X15">
        <v>0</v>
      </c>
      <c r="Y15" t="s">
        <v>40</v>
      </c>
      <c r="Z15" t="s">
        <v>40</v>
      </c>
      <c r="AA15" t="s">
        <v>40</v>
      </c>
      <c r="AB15">
        <v>0</v>
      </c>
      <c r="AC15" t="s">
        <v>49</v>
      </c>
      <c r="AD15" t="s">
        <v>40</v>
      </c>
      <c r="AE15" t="s">
        <v>40</v>
      </c>
      <c r="AF15" t="s">
        <v>40</v>
      </c>
      <c r="AG15" t="s">
        <v>40</v>
      </c>
      <c r="AH15" t="s">
        <v>40</v>
      </c>
      <c r="AI15" t="s">
        <v>40</v>
      </c>
      <c r="AJ15" t="s">
        <v>40</v>
      </c>
      <c r="AK15" t="s">
        <v>40</v>
      </c>
      <c r="AL15" t="s">
        <v>40</v>
      </c>
      <c r="AM15" t="s">
        <v>40</v>
      </c>
    </row>
    <row r="16" spans="1:39" x14ac:dyDescent="0.2">
      <c r="A16" s="4" t="s">
        <v>108</v>
      </c>
      <c r="B16" s="4" t="s">
        <v>1549</v>
      </c>
      <c r="C16" s="4" t="s">
        <v>1701</v>
      </c>
      <c r="D16" s="4" t="s">
        <v>62</v>
      </c>
      <c r="E16" s="4" t="s">
        <v>51</v>
      </c>
      <c r="F16" t="s">
        <v>109</v>
      </c>
      <c r="G16" t="s">
        <v>110</v>
      </c>
      <c r="H16" t="s">
        <v>111</v>
      </c>
      <c r="I16" t="s">
        <v>40</v>
      </c>
      <c r="J16" t="s">
        <v>40</v>
      </c>
      <c r="K16" t="s">
        <v>40</v>
      </c>
      <c r="L16" t="s">
        <v>40</v>
      </c>
      <c r="M16">
        <v>9.8000000000000007</v>
      </c>
      <c r="N16">
        <v>100</v>
      </c>
      <c r="O16">
        <v>1</v>
      </c>
      <c r="P16">
        <v>0</v>
      </c>
      <c r="Q16" t="s">
        <v>77</v>
      </c>
      <c r="R16" t="b">
        <v>0</v>
      </c>
      <c r="S16" t="s">
        <v>40</v>
      </c>
      <c r="T16" s="1">
        <v>45558</v>
      </c>
      <c r="U16" t="s">
        <v>40</v>
      </c>
      <c r="V16" t="s">
        <v>47</v>
      </c>
      <c r="W16" t="s">
        <v>40</v>
      </c>
      <c r="X16">
        <v>0</v>
      </c>
      <c r="Y16" t="s">
        <v>40</v>
      </c>
      <c r="Z16" t="s">
        <v>40</v>
      </c>
      <c r="AA16" t="s">
        <v>40</v>
      </c>
      <c r="AB16">
        <v>0</v>
      </c>
      <c r="AC16" t="s">
        <v>49</v>
      </c>
      <c r="AD16" t="s">
        <v>40</v>
      </c>
      <c r="AE16" t="s">
        <v>40</v>
      </c>
      <c r="AF16" t="s">
        <v>40</v>
      </c>
      <c r="AG16" t="s">
        <v>40</v>
      </c>
      <c r="AH16" t="s">
        <v>40</v>
      </c>
      <c r="AI16" t="s">
        <v>40</v>
      </c>
      <c r="AJ16" t="s">
        <v>40</v>
      </c>
      <c r="AK16" t="s">
        <v>40</v>
      </c>
      <c r="AL16" t="s">
        <v>40</v>
      </c>
      <c r="AM16" t="s">
        <v>40</v>
      </c>
    </row>
    <row r="17" spans="1:39" x14ac:dyDescent="0.2">
      <c r="A17" s="4" t="s">
        <v>112</v>
      </c>
      <c r="B17" s="4" t="s">
        <v>1550</v>
      </c>
      <c r="C17" s="4" t="s">
        <v>1691</v>
      </c>
      <c r="D17" s="4" t="s">
        <v>51</v>
      </c>
      <c r="E17" s="4" t="s">
        <v>51</v>
      </c>
      <c r="F17" t="s">
        <v>113</v>
      </c>
      <c r="G17" t="s">
        <v>114</v>
      </c>
      <c r="H17" t="s">
        <v>115</v>
      </c>
      <c r="I17" t="s">
        <v>40</v>
      </c>
      <c r="J17" t="s">
        <v>40</v>
      </c>
      <c r="K17" t="s">
        <v>40</v>
      </c>
      <c r="L17" t="s">
        <v>40</v>
      </c>
      <c r="M17">
        <v>2257.84</v>
      </c>
      <c r="N17">
        <v>3000</v>
      </c>
      <c r="O17">
        <v>2</v>
      </c>
      <c r="P17">
        <v>30</v>
      </c>
      <c r="Q17" t="s">
        <v>116</v>
      </c>
      <c r="R17" t="b">
        <v>0</v>
      </c>
      <c r="S17" t="s">
        <v>46</v>
      </c>
      <c r="T17" s="1">
        <v>45227</v>
      </c>
      <c r="U17" t="s">
        <v>40</v>
      </c>
      <c r="V17" t="s">
        <v>47</v>
      </c>
      <c r="W17" t="s">
        <v>40</v>
      </c>
      <c r="X17">
        <v>2</v>
      </c>
      <c r="Y17" t="s">
        <v>48</v>
      </c>
      <c r="Z17" t="s">
        <v>40</v>
      </c>
      <c r="AA17" t="s">
        <v>40</v>
      </c>
      <c r="AB17">
        <v>0</v>
      </c>
      <c r="AC17" t="s">
        <v>49</v>
      </c>
      <c r="AD17" t="s">
        <v>40</v>
      </c>
      <c r="AE17" t="s">
        <v>40</v>
      </c>
      <c r="AF17" t="s">
        <v>40</v>
      </c>
      <c r="AG17" t="s">
        <v>40</v>
      </c>
      <c r="AH17" t="s">
        <v>40</v>
      </c>
      <c r="AI17" t="s">
        <v>40</v>
      </c>
      <c r="AJ17" t="s">
        <v>40</v>
      </c>
      <c r="AK17" t="s">
        <v>40</v>
      </c>
      <c r="AL17" t="s">
        <v>40</v>
      </c>
      <c r="AM17" t="s">
        <v>40</v>
      </c>
    </row>
    <row r="18" spans="1:39" x14ac:dyDescent="0.2">
      <c r="A18" s="4" t="s">
        <v>117</v>
      </c>
      <c r="B18" s="4" t="s">
        <v>118</v>
      </c>
      <c r="C18" s="4" t="s">
        <v>1702</v>
      </c>
      <c r="D18" s="4" t="s">
        <v>51</v>
      </c>
      <c r="E18" s="4" t="s">
        <v>51</v>
      </c>
      <c r="F18" t="s">
        <v>119</v>
      </c>
      <c r="G18" t="s">
        <v>120</v>
      </c>
      <c r="H18" t="s">
        <v>121</v>
      </c>
      <c r="I18" t="s">
        <v>40</v>
      </c>
      <c r="J18" t="s">
        <v>40</v>
      </c>
      <c r="K18" t="s">
        <v>40</v>
      </c>
      <c r="L18" t="s">
        <v>40</v>
      </c>
      <c r="M18">
        <v>0</v>
      </c>
      <c r="N18">
        <v>0</v>
      </c>
      <c r="O18">
        <v>2</v>
      </c>
      <c r="P18">
        <v>30</v>
      </c>
      <c r="Q18" t="s">
        <v>77</v>
      </c>
      <c r="R18" t="b">
        <v>0</v>
      </c>
      <c r="S18" t="s">
        <v>40</v>
      </c>
      <c r="T18" s="1">
        <v>44617</v>
      </c>
      <c r="U18" t="s">
        <v>40</v>
      </c>
      <c r="V18" t="s">
        <v>47</v>
      </c>
      <c r="W18" t="s">
        <v>40</v>
      </c>
      <c r="X18">
        <v>0</v>
      </c>
      <c r="Y18" t="s">
        <v>40</v>
      </c>
      <c r="Z18" t="s">
        <v>40</v>
      </c>
      <c r="AA18" t="s">
        <v>40</v>
      </c>
      <c r="AB18">
        <v>0</v>
      </c>
      <c r="AC18" t="s">
        <v>49</v>
      </c>
      <c r="AD18" t="s">
        <v>40</v>
      </c>
      <c r="AE18" t="s">
        <v>40</v>
      </c>
      <c r="AF18" t="s">
        <v>40</v>
      </c>
      <c r="AG18" t="s">
        <v>40</v>
      </c>
      <c r="AH18" t="s">
        <v>40</v>
      </c>
      <c r="AI18" t="s">
        <v>40</v>
      </c>
      <c r="AJ18" t="s">
        <v>40</v>
      </c>
      <c r="AK18" t="s">
        <v>40</v>
      </c>
      <c r="AL18" t="s">
        <v>40</v>
      </c>
      <c r="AM18" t="s">
        <v>40</v>
      </c>
    </row>
    <row r="19" spans="1:39" x14ac:dyDescent="0.2">
      <c r="A19" s="4" t="s">
        <v>122</v>
      </c>
      <c r="B19" s="4" t="s">
        <v>123</v>
      </c>
      <c r="C19" s="4" t="s">
        <v>40</v>
      </c>
      <c r="D19" s="4" t="s">
        <v>51</v>
      </c>
      <c r="E19" s="4" t="s">
        <v>51</v>
      </c>
      <c r="F19" t="s">
        <v>119</v>
      </c>
      <c r="G19" t="s">
        <v>124</v>
      </c>
      <c r="H19" t="s">
        <v>125</v>
      </c>
      <c r="I19" t="s">
        <v>40</v>
      </c>
      <c r="J19" t="s">
        <v>40</v>
      </c>
      <c r="K19" t="s">
        <v>40</v>
      </c>
      <c r="L19" t="s">
        <v>40</v>
      </c>
      <c r="M19">
        <v>4.7</v>
      </c>
      <c r="N19">
        <v>200</v>
      </c>
      <c r="O19">
        <v>1</v>
      </c>
      <c r="P19">
        <v>0</v>
      </c>
      <c r="Q19" t="s">
        <v>77</v>
      </c>
      <c r="R19" t="b">
        <v>0</v>
      </c>
      <c r="S19" t="s">
        <v>40</v>
      </c>
      <c r="T19" s="1">
        <v>44957</v>
      </c>
      <c r="U19" t="s">
        <v>40</v>
      </c>
      <c r="V19" t="s">
        <v>47</v>
      </c>
      <c r="W19" t="s">
        <v>40</v>
      </c>
      <c r="X19">
        <v>0</v>
      </c>
      <c r="Y19" t="s">
        <v>40</v>
      </c>
      <c r="Z19" t="s">
        <v>40</v>
      </c>
      <c r="AA19" t="s">
        <v>40</v>
      </c>
      <c r="AB19">
        <v>0</v>
      </c>
      <c r="AC19" t="s">
        <v>49</v>
      </c>
      <c r="AD19" t="s">
        <v>40</v>
      </c>
      <c r="AE19" t="s">
        <v>40</v>
      </c>
      <c r="AF19" t="s">
        <v>40</v>
      </c>
      <c r="AG19" t="s">
        <v>40</v>
      </c>
      <c r="AH19" t="s">
        <v>40</v>
      </c>
      <c r="AI19" t="s">
        <v>40</v>
      </c>
      <c r="AJ19" t="s">
        <v>40</v>
      </c>
      <c r="AK19" t="s">
        <v>40</v>
      </c>
      <c r="AL19" t="s">
        <v>40</v>
      </c>
      <c r="AM19" t="s">
        <v>40</v>
      </c>
    </row>
    <row r="20" spans="1:39" x14ac:dyDescent="0.2">
      <c r="A20" s="4" t="s">
        <v>126</v>
      </c>
      <c r="B20" s="4" t="s">
        <v>1551</v>
      </c>
      <c r="C20" s="4" t="s">
        <v>1703</v>
      </c>
      <c r="D20" s="4" t="s">
        <v>51</v>
      </c>
      <c r="E20" s="4" t="s">
        <v>51</v>
      </c>
      <c r="F20" t="s">
        <v>42</v>
      </c>
      <c r="G20" t="s">
        <v>127</v>
      </c>
      <c r="H20" t="s">
        <v>128</v>
      </c>
      <c r="I20" t="s">
        <v>40</v>
      </c>
      <c r="J20" t="s">
        <v>40</v>
      </c>
      <c r="K20" t="s">
        <v>40</v>
      </c>
      <c r="L20" t="s">
        <v>40</v>
      </c>
      <c r="M20">
        <v>754.12</v>
      </c>
      <c r="N20">
        <v>2000</v>
      </c>
      <c r="O20">
        <v>2</v>
      </c>
      <c r="P20">
        <v>30</v>
      </c>
      <c r="Q20" t="s">
        <v>129</v>
      </c>
      <c r="R20" t="b">
        <v>0</v>
      </c>
      <c r="S20" t="s">
        <v>46</v>
      </c>
      <c r="T20">
        <v>45365</v>
      </c>
      <c r="U20" t="s">
        <v>40</v>
      </c>
      <c r="V20" t="s">
        <v>47</v>
      </c>
      <c r="W20" t="s">
        <v>40</v>
      </c>
      <c r="X20">
        <v>2</v>
      </c>
      <c r="Y20" t="s">
        <v>48</v>
      </c>
      <c r="Z20" t="s">
        <v>40</v>
      </c>
      <c r="AA20" t="s">
        <v>40</v>
      </c>
      <c r="AB20">
        <v>0</v>
      </c>
      <c r="AC20" t="s">
        <v>49</v>
      </c>
      <c r="AD20" t="s">
        <v>40</v>
      </c>
      <c r="AE20" t="s">
        <v>40</v>
      </c>
      <c r="AF20" t="s">
        <v>40</v>
      </c>
      <c r="AG20" t="s">
        <v>40</v>
      </c>
      <c r="AH20" t="s">
        <v>40</v>
      </c>
      <c r="AI20" t="s">
        <v>40</v>
      </c>
      <c r="AJ20" t="s">
        <v>40</v>
      </c>
      <c r="AK20" t="s">
        <v>40</v>
      </c>
      <c r="AL20" t="s">
        <v>40</v>
      </c>
      <c r="AM20" t="s">
        <v>40</v>
      </c>
    </row>
    <row r="21" spans="1:39" x14ac:dyDescent="0.2">
      <c r="A21" s="4" t="s">
        <v>130</v>
      </c>
      <c r="B21" s="4" t="s">
        <v>1552</v>
      </c>
      <c r="C21" s="4" t="s">
        <v>1704</v>
      </c>
      <c r="D21" s="4" t="s">
        <v>40</v>
      </c>
      <c r="E21" s="4" t="s">
        <v>40</v>
      </c>
      <c r="F21" t="s">
        <v>131</v>
      </c>
      <c r="G21" t="s">
        <v>132</v>
      </c>
      <c r="H21" t="s">
        <v>133</v>
      </c>
      <c r="I21" t="s">
        <v>40</v>
      </c>
      <c r="J21" t="s">
        <v>40</v>
      </c>
      <c r="K21" t="s">
        <v>40</v>
      </c>
      <c r="L21" t="s">
        <v>40</v>
      </c>
      <c r="M21">
        <v>0</v>
      </c>
      <c r="N21">
        <v>100</v>
      </c>
      <c r="O21">
        <v>2</v>
      </c>
      <c r="P21">
        <v>30</v>
      </c>
      <c r="Q21" t="s">
        <v>77</v>
      </c>
      <c r="R21" t="b">
        <v>0</v>
      </c>
      <c r="S21" t="s">
        <v>40</v>
      </c>
      <c r="T21" t="s">
        <v>49</v>
      </c>
      <c r="U21" t="s">
        <v>40</v>
      </c>
      <c r="V21" t="s">
        <v>47</v>
      </c>
      <c r="W21" t="s">
        <v>40</v>
      </c>
      <c r="X21">
        <v>0</v>
      </c>
      <c r="Y21" t="s">
        <v>40</v>
      </c>
      <c r="Z21" t="s">
        <v>40</v>
      </c>
      <c r="AA21" t="s">
        <v>40</v>
      </c>
      <c r="AB21">
        <v>0</v>
      </c>
      <c r="AC21" t="s">
        <v>49</v>
      </c>
      <c r="AD21" t="s">
        <v>40</v>
      </c>
      <c r="AE21" t="s">
        <v>40</v>
      </c>
      <c r="AF21" t="s">
        <v>40</v>
      </c>
      <c r="AG21" t="s">
        <v>40</v>
      </c>
      <c r="AH21" t="s">
        <v>40</v>
      </c>
      <c r="AI21" t="s">
        <v>40</v>
      </c>
      <c r="AJ21" t="s">
        <v>40</v>
      </c>
      <c r="AK21" t="s">
        <v>40</v>
      </c>
      <c r="AL21" t="s">
        <v>40</v>
      </c>
      <c r="AM21" t="s">
        <v>40</v>
      </c>
    </row>
    <row r="22" spans="1:39" x14ac:dyDescent="0.2">
      <c r="A22" s="4" t="s">
        <v>134</v>
      </c>
      <c r="B22" s="4" t="s">
        <v>135</v>
      </c>
      <c r="C22" s="4" t="s">
        <v>136</v>
      </c>
      <c r="D22" s="4" t="s">
        <v>51</v>
      </c>
      <c r="E22" s="4" t="s">
        <v>51</v>
      </c>
      <c r="F22" t="s">
        <v>137</v>
      </c>
      <c r="G22" t="s">
        <v>138</v>
      </c>
      <c r="H22" t="s">
        <v>139</v>
      </c>
      <c r="I22" t="s">
        <v>40</v>
      </c>
      <c r="J22" t="s">
        <v>40</v>
      </c>
      <c r="K22" t="s">
        <v>40</v>
      </c>
      <c r="L22" t="s">
        <v>40</v>
      </c>
      <c r="M22">
        <v>0</v>
      </c>
      <c r="N22">
        <v>100</v>
      </c>
      <c r="O22">
        <v>2</v>
      </c>
      <c r="P22">
        <v>30</v>
      </c>
      <c r="Q22" t="s">
        <v>77</v>
      </c>
      <c r="R22" t="b">
        <v>0</v>
      </c>
      <c r="S22" t="s">
        <v>40</v>
      </c>
      <c r="T22" s="1" t="s">
        <v>49</v>
      </c>
      <c r="U22" t="s">
        <v>40</v>
      </c>
      <c r="V22" t="s">
        <v>47</v>
      </c>
      <c r="W22" t="s">
        <v>40</v>
      </c>
      <c r="X22">
        <v>0</v>
      </c>
      <c r="Y22" t="s">
        <v>40</v>
      </c>
      <c r="Z22" t="s">
        <v>40</v>
      </c>
      <c r="AA22" t="s">
        <v>40</v>
      </c>
      <c r="AB22">
        <v>0</v>
      </c>
      <c r="AC22" t="s">
        <v>49</v>
      </c>
      <c r="AD22" t="s">
        <v>40</v>
      </c>
      <c r="AE22" t="s">
        <v>40</v>
      </c>
      <c r="AF22" t="s">
        <v>40</v>
      </c>
      <c r="AG22" t="s">
        <v>40</v>
      </c>
      <c r="AH22" t="s">
        <v>40</v>
      </c>
      <c r="AI22" t="s">
        <v>40</v>
      </c>
      <c r="AJ22" t="s">
        <v>40</v>
      </c>
      <c r="AK22" t="s">
        <v>40</v>
      </c>
      <c r="AL22" t="s">
        <v>40</v>
      </c>
      <c r="AM22" t="s">
        <v>40</v>
      </c>
    </row>
    <row r="23" spans="1:39" x14ac:dyDescent="0.2">
      <c r="A23" s="4" t="s">
        <v>140</v>
      </c>
      <c r="B23" s="4" t="s">
        <v>141</v>
      </c>
      <c r="C23" s="4" t="s">
        <v>142</v>
      </c>
      <c r="D23" s="4" t="s">
        <v>143</v>
      </c>
      <c r="E23" s="4" t="s">
        <v>51</v>
      </c>
      <c r="F23" t="s">
        <v>144</v>
      </c>
      <c r="G23" t="s">
        <v>145</v>
      </c>
      <c r="H23" t="s">
        <v>146</v>
      </c>
      <c r="I23" t="s">
        <v>40</v>
      </c>
      <c r="J23" t="s">
        <v>40</v>
      </c>
      <c r="K23" t="s">
        <v>40</v>
      </c>
      <c r="L23" t="s">
        <v>40</v>
      </c>
      <c r="M23">
        <v>9.8000000000000007</v>
      </c>
      <c r="N23">
        <v>100</v>
      </c>
      <c r="O23">
        <v>2</v>
      </c>
      <c r="P23">
        <v>30</v>
      </c>
      <c r="Q23" t="s">
        <v>77</v>
      </c>
      <c r="R23" t="b">
        <v>0</v>
      </c>
      <c r="S23" t="s">
        <v>40</v>
      </c>
      <c r="T23" s="1">
        <v>45306</v>
      </c>
      <c r="U23" t="s">
        <v>40</v>
      </c>
      <c r="V23" t="s">
        <v>47</v>
      </c>
      <c r="W23" t="s">
        <v>40</v>
      </c>
      <c r="X23">
        <v>0</v>
      </c>
      <c r="Y23" t="s">
        <v>40</v>
      </c>
      <c r="Z23" t="s">
        <v>40</v>
      </c>
      <c r="AA23" t="s">
        <v>40</v>
      </c>
      <c r="AB23">
        <v>0</v>
      </c>
      <c r="AC23" t="s">
        <v>49</v>
      </c>
      <c r="AD23" t="s">
        <v>40</v>
      </c>
      <c r="AE23" t="s">
        <v>40</v>
      </c>
      <c r="AF23" t="s">
        <v>40</v>
      </c>
      <c r="AG23" t="s">
        <v>40</v>
      </c>
      <c r="AH23" t="s">
        <v>40</v>
      </c>
      <c r="AI23" t="s">
        <v>40</v>
      </c>
      <c r="AJ23" t="s">
        <v>40</v>
      </c>
      <c r="AK23" t="s">
        <v>40</v>
      </c>
      <c r="AL23" t="s">
        <v>40</v>
      </c>
      <c r="AM23" t="s">
        <v>40</v>
      </c>
    </row>
    <row r="24" spans="1:39" x14ac:dyDescent="0.2">
      <c r="A24" s="4" t="s">
        <v>147</v>
      </c>
      <c r="B24" s="4" t="s">
        <v>1553</v>
      </c>
      <c r="C24" s="4" t="s">
        <v>148</v>
      </c>
      <c r="D24" s="4" t="s">
        <v>51</v>
      </c>
      <c r="E24" s="4" t="s">
        <v>51</v>
      </c>
      <c r="F24" t="s">
        <v>149</v>
      </c>
      <c r="G24" t="s">
        <v>150</v>
      </c>
      <c r="H24" t="s">
        <v>151</v>
      </c>
      <c r="I24" t="s">
        <v>152</v>
      </c>
      <c r="J24" t="s">
        <v>40</v>
      </c>
      <c r="K24" t="s">
        <v>40</v>
      </c>
      <c r="L24" t="s">
        <v>40</v>
      </c>
      <c r="M24">
        <v>1499.5</v>
      </c>
      <c r="N24">
        <v>1000</v>
      </c>
      <c r="O24">
        <v>2</v>
      </c>
      <c r="P24">
        <v>30</v>
      </c>
      <c r="Q24" t="s">
        <v>153</v>
      </c>
      <c r="R24" t="b">
        <v>0</v>
      </c>
      <c r="S24" t="s">
        <v>46</v>
      </c>
      <c r="T24">
        <v>45350</v>
      </c>
      <c r="U24" t="s">
        <v>40</v>
      </c>
      <c r="V24" t="s">
        <v>47</v>
      </c>
      <c r="W24" t="s">
        <v>40</v>
      </c>
      <c r="X24">
        <v>0</v>
      </c>
      <c r="Y24" t="s">
        <v>40</v>
      </c>
      <c r="Z24" t="s">
        <v>40</v>
      </c>
      <c r="AA24" t="s">
        <v>40</v>
      </c>
      <c r="AB24">
        <v>0</v>
      </c>
      <c r="AC24" t="s">
        <v>49</v>
      </c>
      <c r="AD24" t="s">
        <v>40</v>
      </c>
      <c r="AE24" t="s">
        <v>40</v>
      </c>
      <c r="AF24" t="s">
        <v>40</v>
      </c>
      <c r="AG24" t="s">
        <v>40</v>
      </c>
      <c r="AH24" t="s">
        <v>40</v>
      </c>
      <c r="AI24" t="s">
        <v>40</v>
      </c>
      <c r="AJ24" t="s">
        <v>40</v>
      </c>
      <c r="AK24" t="s">
        <v>40</v>
      </c>
      <c r="AL24" t="s">
        <v>40</v>
      </c>
      <c r="AM24" t="s">
        <v>40</v>
      </c>
    </row>
    <row r="25" spans="1:39" x14ac:dyDescent="0.2">
      <c r="A25" s="4" t="s">
        <v>154</v>
      </c>
      <c r="B25" s="4" t="s">
        <v>1554</v>
      </c>
      <c r="C25" s="4" t="s">
        <v>155</v>
      </c>
      <c r="D25" s="4" t="s">
        <v>156</v>
      </c>
      <c r="E25" s="4" t="s">
        <v>51</v>
      </c>
      <c r="F25" t="s">
        <v>157</v>
      </c>
      <c r="G25" t="s">
        <v>158</v>
      </c>
      <c r="H25" t="s">
        <v>159</v>
      </c>
      <c r="I25" t="s">
        <v>40</v>
      </c>
      <c r="J25" t="s">
        <v>40</v>
      </c>
      <c r="K25" t="s">
        <v>40</v>
      </c>
      <c r="L25" t="s">
        <v>40</v>
      </c>
      <c r="M25">
        <v>0</v>
      </c>
      <c r="N25">
        <v>100</v>
      </c>
      <c r="O25">
        <v>2</v>
      </c>
      <c r="P25">
        <v>30</v>
      </c>
      <c r="Q25" t="s">
        <v>77</v>
      </c>
      <c r="R25" t="b">
        <v>0</v>
      </c>
      <c r="S25" t="s">
        <v>40</v>
      </c>
      <c r="T25" t="s">
        <v>49</v>
      </c>
      <c r="U25" t="s">
        <v>40</v>
      </c>
      <c r="V25" t="s">
        <v>47</v>
      </c>
      <c r="W25" t="s">
        <v>40</v>
      </c>
      <c r="X25">
        <v>0</v>
      </c>
      <c r="Y25" t="s">
        <v>40</v>
      </c>
      <c r="Z25" t="s">
        <v>40</v>
      </c>
      <c r="AA25" t="s">
        <v>40</v>
      </c>
      <c r="AB25">
        <v>0</v>
      </c>
      <c r="AC25" t="s">
        <v>49</v>
      </c>
      <c r="AD25" t="s">
        <v>40</v>
      </c>
      <c r="AE25" t="s">
        <v>40</v>
      </c>
      <c r="AF25" t="s">
        <v>40</v>
      </c>
      <c r="AG25" t="s">
        <v>40</v>
      </c>
      <c r="AH25" t="s">
        <v>40</v>
      </c>
      <c r="AI25" t="s">
        <v>40</v>
      </c>
      <c r="AJ25" t="s">
        <v>40</v>
      </c>
      <c r="AK25" t="s">
        <v>40</v>
      </c>
      <c r="AL25" t="s">
        <v>40</v>
      </c>
      <c r="AM25" t="s">
        <v>40</v>
      </c>
    </row>
    <row r="26" spans="1:39" x14ac:dyDescent="0.2">
      <c r="A26" s="4" t="s">
        <v>160</v>
      </c>
      <c r="B26" s="4" t="s">
        <v>161</v>
      </c>
      <c r="C26" s="4" t="s">
        <v>162</v>
      </c>
      <c r="D26" s="4" t="s">
        <v>51</v>
      </c>
      <c r="E26" s="4" t="s">
        <v>51</v>
      </c>
      <c r="F26" t="s">
        <v>163</v>
      </c>
      <c r="G26" t="s">
        <v>164</v>
      </c>
      <c r="H26" t="s">
        <v>165</v>
      </c>
      <c r="I26" t="s">
        <v>40</v>
      </c>
      <c r="J26" t="s">
        <v>40</v>
      </c>
      <c r="K26" t="s">
        <v>40</v>
      </c>
      <c r="L26" t="s">
        <v>40</v>
      </c>
      <c r="M26">
        <v>0</v>
      </c>
      <c r="N26">
        <v>50</v>
      </c>
      <c r="O26">
        <v>2</v>
      </c>
      <c r="P26">
        <v>30</v>
      </c>
      <c r="Q26" t="s">
        <v>77</v>
      </c>
      <c r="R26" t="b">
        <v>0</v>
      </c>
      <c r="S26" t="s">
        <v>40</v>
      </c>
      <c r="T26" s="1" t="s">
        <v>49</v>
      </c>
      <c r="U26" t="s">
        <v>40</v>
      </c>
      <c r="V26" t="s">
        <v>47</v>
      </c>
      <c r="W26" t="s">
        <v>40</v>
      </c>
      <c r="X26">
        <v>0</v>
      </c>
      <c r="Y26" t="s">
        <v>40</v>
      </c>
      <c r="Z26" t="s">
        <v>40</v>
      </c>
      <c r="AA26" t="s">
        <v>40</v>
      </c>
      <c r="AB26">
        <v>0</v>
      </c>
      <c r="AC26" t="s">
        <v>49</v>
      </c>
      <c r="AD26" t="s">
        <v>40</v>
      </c>
      <c r="AE26" t="s">
        <v>40</v>
      </c>
      <c r="AF26" t="s">
        <v>40</v>
      </c>
      <c r="AG26" t="s">
        <v>40</v>
      </c>
      <c r="AH26" t="s">
        <v>40</v>
      </c>
      <c r="AI26" t="s">
        <v>40</v>
      </c>
      <c r="AJ26" t="s">
        <v>40</v>
      </c>
      <c r="AK26" t="s">
        <v>40</v>
      </c>
      <c r="AL26" t="s">
        <v>40</v>
      </c>
      <c r="AM26" t="s">
        <v>40</v>
      </c>
    </row>
    <row r="27" spans="1:39" x14ac:dyDescent="0.2">
      <c r="A27" s="4" t="s">
        <v>166</v>
      </c>
      <c r="B27" s="4" t="s">
        <v>167</v>
      </c>
      <c r="C27" s="4" t="s">
        <v>1705</v>
      </c>
      <c r="D27" s="4" t="s">
        <v>51</v>
      </c>
      <c r="E27" s="4" t="s">
        <v>51</v>
      </c>
      <c r="F27" t="s">
        <v>40</v>
      </c>
      <c r="G27" t="s">
        <v>168</v>
      </c>
      <c r="H27" t="s">
        <v>169</v>
      </c>
      <c r="I27" t="s">
        <v>40</v>
      </c>
      <c r="J27" t="s">
        <v>40</v>
      </c>
      <c r="K27" t="s">
        <v>40</v>
      </c>
      <c r="L27" t="s">
        <v>40</v>
      </c>
      <c r="M27">
        <v>21.55</v>
      </c>
      <c r="N27">
        <v>100</v>
      </c>
      <c r="O27">
        <v>1</v>
      </c>
      <c r="P27">
        <v>0</v>
      </c>
      <c r="Q27" t="s">
        <v>170</v>
      </c>
      <c r="R27" t="b">
        <v>0</v>
      </c>
      <c r="S27" t="s">
        <v>87</v>
      </c>
      <c r="T27">
        <v>45664</v>
      </c>
      <c r="U27" t="s">
        <v>40</v>
      </c>
      <c r="V27" t="s">
        <v>47</v>
      </c>
      <c r="W27" t="s">
        <v>40</v>
      </c>
      <c r="X27">
        <v>0</v>
      </c>
      <c r="Y27" t="s">
        <v>40</v>
      </c>
      <c r="Z27" t="s">
        <v>40</v>
      </c>
      <c r="AA27" t="s">
        <v>40</v>
      </c>
      <c r="AB27">
        <v>0</v>
      </c>
      <c r="AC27" t="s">
        <v>49</v>
      </c>
      <c r="AD27" t="s">
        <v>40</v>
      </c>
      <c r="AE27" t="s">
        <v>40</v>
      </c>
      <c r="AF27" t="s">
        <v>40</v>
      </c>
      <c r="AG27" t="s">
        <v>40</v>
      </c>
      <c r="AH27" t="s">
        <v>40</v>
      </c>
      <c r="AI27" t="s">
        <v>40</v>
      </c>
      <c r="AJ27" t="s">
        <v>40</v>
      </c>
      <c r="AK27" t="s">
        <v>40</v>
      </c>
      <c r="AL27" t="s">
        <v>40</v>
      </c>
      <c r="AM27" t="s">
        <v>40</v>
      </c>
    </row>
    <row r="28" spans="1:39" x14ac:dyDescent="0.2">
      <c r="A28" s="4" t="s">
        <v>171</v>
      </c>
      <c r="B28" s="4" t="s">
        <v>1555</v>
      </c>
      <c r="C28" s="4" t="s">
        <v>1706</v>
      </c>
      <c r="D28" s="4" t="s">
        <v>51</v>
      </c>
      <c r="E28" s="4" t="s">
        <v>51</v>
      </c>
      <c r="F28" t="s">
        <v>40</v>
      </c>
      <c r="G28" t="s">
        <v>172</v>
      </c>
      <c r="H28" t="s">
        <v>173</v>
      </c>
      <c r="I28" t="s">
        <v>40</v>
      </c>
      <c r="J28" t="s">
        <v>40</v>
      </c>
      <c r="K28" t="s">
        <v>40</v>
      </c>
      <c r="L28" t="s">
        <v>40</v>
      </c>
      <c r="M28">
        <v>0</v>
      </c>
      <c r="N28">
        <v>50</v>
      </c>
      <c r="O28">
        <v>2</v>
      </c>
      <c r="P28">
        <v>30</v>
      </c>
      <c r="Q28" t="s">
        <v>77</v>
      </c>
      <c r="R28" t="b">
        <v>0</v>
      </c>
      <c r="S28" t="s">
        <v>40</v>
      </c>
      <c r="T28" s="1" t="s">
        <v>49</v>
      </c>
      <c r="U28" t="s">
        <v>40</v>
      </c>
      <c r="V28" t="s">
        <v>47</v>
      </c>
      <c r="W28" t="s">
        <v>40</v>
      </c>
      <c r="X28">
        <v>0</v>
      </c>
      <c r="Y28" t="s">
        <v>40</v>
      </c>
      <c r="Z28" t="s">
        <v>40</v>
      </c>
      <c r="AA28" t="s">
        <v>40</v>
      </c>
      <c r="AB28">
        <v>0</v>
      </c>
      <c r="AC28" t="s">
        <v>49</v>
      </c>
      <c r="AD28" t="s">
        <v>40</v>
      </c>
      <c r="AE28" t="s">
        <v>40</v>
      </c>
      <c r="AF28" t="s">
        <v>40</v>
      </c>
      <c r="AG28" t="s">
        <v>40</v>
      </c>
      <c r="AH28" t="s">
        <v>40</v>
      </c>
      <c r="AI28" t="s">
        <v>40</v>
      </c>
      <c r="AJ28" t="s">
        <v>40</v>
      </c>
      <c r="AK28" t="s">
        <v>40</v>
      </c>
      <c r="AL28" t="s">
        <v>40</v>
      </c>
      <c r="AM28" t="s">
        <v>40</v>
      </c>
    </row>
    <row r="29" spans="1:39" x14ac:dyDescent="0.2">
      <c r="A29" s="4" t="s">
        <v>174</v>
      </c>
      <c r="B29" s="4" t="s">
        <v>1556</v>
      </c>
      <c r="C29" s="4" t="s">
        <v>175</v>
      </c>
      <c r="D29" s="4" t="s">
        <v>51</v>
      </c>
      <c r="E29" s="4" t="s">
        <v>51</v>
      </c>
      <c r="F29" t="s">
        <v>1802</v>
      </c>
      <c r="G29" t="s">
        <v>176</v>
      </c>
      <c r="H29" t="s">
        <v>177</v>
      </c>
      <c r="I29" t="s">
        <v>40</v>
      </c>
      <c r="J29" t="s">
        <v>40</v>
      </c>
      <c r="K29" t="s">
        <v>40</v>
      </c>
      <c r="L29" t="s">
        <v>40</v>
      </c>
      <c r="M29">
        <v>5.2</v>
      </c>
      <c r="N29">
        <v>50</v>
      </c>
      <c r="O29">
        <v>1</v>
      </c>
      <c r="P29">
        <v>0</v>
      </c>
      <c r="Q29" t="s">
        <v>77</v>
      </c>
      <c r="R29" t="b">
        <v>0</v>
      </c>
      <c r="S29" t="s">
        <v>40</v>
      </c>
      <c r="T29">
        <v>45082</v>
      </c>
      <c r="U29" t="s">
        <v>40</v>
      </c>
      <c r="V29" t="s">
        <v>47</v>
      </c>
      <c r="W29" t="s">
        <v>40</v>
      </c>
      <c r="X29">
        <v>0</v>
      </c>
      <c r="Y29" t="s">
        <v>40</v>
      </c>
      <c r="Z29" t="s">
        <v>40</v>
      </c>
      <c r="AA29" t="s">
        <v>40</v>
      </c>
      <c r="AB29">
        <v>0</v>
      </c>
      <c r="AC29" t="s">
        <v>49</v>
      </c>
      <c r="AD29" t="s">
        <v>40</v>
      </c>
      <c r="AE29" t="s">
        <v>40</v>
      </c>
      <c r="AF29" t="s">
        <v>40</v>
      </c>
      <c r="AG29" t="s">
        <v>40</v>
      </c>
      <c r="AH29" t="s">
        <v>40</v>
      </c>
      <c r="AI29" t="s">
        <v>40</v>
      </c>
      <c r="AJ29" t="s">
        <v>40</v>
      </c>
      <c r="AK29" t="s">
        <v>40</v>
      </c>
      <c r="AL29" t="s">
        <v>40</v>
      </c>
      <c r="AM29" t="s">
        <v>40</v>
      </c>
    </row>
    <row r="30" spans="1:39" x14ac:dyDescent="0.2">
      <c r="A30" s="4" t="s">
        <v>178</v>
      </c>
      <c r="B30" s="4" t="s">
        <v>179</v>
      </c>
      <c r="C30" s="4" t="s">
        <v>40</v>
      </c>
      <c r="D30" s="4" t="s">
        <v>40</v>
      </c>
      <c r="E30" s="4" t="s">
        <v>40</v>
      </c>
      <c r="F30" t="s">
        <v>40</v>
      </c>
      <c r="G30" t="s">
        <v>178</v>
      </c>
      <c r="H30" t="s">
        <v>40</v>
      </c>
      <c r="I30" t="s">
        <v>40</v>
      </c>
      <c r="J30" t="s">
        <v>40</v>
      </c>
      <c r="K30" t="s">
        <v>40</v>
      </c>
      <c r="L30" t="s">
        <v>40</v>
      </c>
      <c r="M30">
        <v>0</v>
      </c>
      <c r="N30">
        <v>50</v>
      </c>
      <c r="O30">
        <v>2</v>
      </c>
      <c r="P30">
        <v>30</v>
      </c>
      <c r="Q30" t="s">
        <v>77</v>
      </c>
      <c r="R30" t="b">
        <v>0</v>
      </c>
      <c r="S30" t="s">
        <v>40</v>
      </c>
      <c r="T30" s="1" t="s">
        <v>49</v>
      </c>
      <c r="U30" t="s">
        <v>40</v>
      </c>
      <c r="V30" t="s">
        <v>47</v>
      </c>
      <c r="W30" t="s">
        <v>40</v>
      </c>
      <c r="X30">
        <v>0</v>
      </c>
      <c r="Y30" t="s">
        <v>40</v>
      </c>
      <c r="Z30" t="s">
        <v>40</v>
      </c>
      <c r="AA30" t="s">
        <v>40</v>
      </c>
      <c r="AB30">
        <v>0</v>
      </c>
      <c r="AC30" t="s">
        <v>49</v>
      </c>
      <c r="AD30" t="s">
        <v>40</v>
      </c>
      <c r="AE30" t="s">
        <v>40</v>
      </c>
      <c r="AF30" t="s">
        <v>40</v>
      </c>
      <c r="AG30" t="s">
        <v>40</v>
      </c>
      <c r="AH30" t="s">
        <v>40</v>
      </c>
      <c r="AI30" t="s">
        <v>40</v>
      </c>
      <c r="AJ30" t="s">
        <v>40</v>
      </c>
      <c r="AK30" t="s">
        <v>40</v>
      </c>
      <c r="AL30" t="s">
        <v>40</v>
      </c>
      <c r="AM30" t="s">
        <v>40</v>
      </c>
    </row>
    <row r="31" spans="1:39" x14ac:dyDescent="0.2">
      <c r="A31" s="4" t="s">
        <v>180</v>
      </c>
      <c r="B31" s="4" t="s">
        <v>181</v>
      </c>
      <c r="C31" s="4" t="s">
        <v>40</v>
      </c>
      <c r="D31" s="4" t="s">
        <v>40</v>
      </c>
      <c r="E31" s="4" t="s">
        <v>40</v>
      </c>
      <c r="F31" t="s">
        <v>40</v>
      </c>
      <c r="G31" t="s">
        <v>180</v>
      </c>
      <c r="H31" t="s">
        <v>40</v>
      </c>
      <c r="I31" t="s">
        <v>40</v>
      </c>
      <c r="J31" t="s">
        <v>40</v>
      </c>
      <c r="K31" t="s">
        <v>40</v>
      </c>
      <c r="L31" t="s">
        <v>40</v>
      </c>
      <c r="M31">
        <v>2797.75</v>
      </c>
      <c r="N31">
        <v>5000</v>
      </c>
      <c r="O31">
        <v>1</v>
      </c>
      <c r="P31">
        <v>0</v>
      </c>
      <c r="Q31" t="s">
        <v>77</v>
      </c>
      <c r="R31" t="b">
        <v>0</v>
      </c>
      <c r="S31" t="s">
        <v>40</v>
      </c>
      <c r="T31" s="1">
        <v>45664</v>
      </c>
      <c r="U31" t="s">
        <v>40</v>
      </c>
      <c r="V31" t="s">
        <v>47</v>
      </c>
      <c r="W31" t="s">
        <v>40</v>
      </c>
      <c r="X31">
        <v>0</v>
      </c>
      <c r="Y31" t="s">
        <v>40</v>
      </c>
      <c r="Z31" t="s">
        <v>40</v>
      </c>
      <c r="AA31" t="s">
        <v>40</v>
      </c>
      <c r="AB31">
        <v>0</v>
      </c>
      <c r="AC31" t="s">
        <v>49</v>
      </c>
      <c r="AD31" t="s">
        <v>40</v>
      </c>
      <c r="AE31" t="s">
        <v>40</v>
      </c>
      <c r="AF31" t="s">
        <v>40</v>
      </c>
      <c r="AG31" t="s">
        <v>40</v>
      </c>
      <c r="AH31" t="s">
        <v>40</v>
      </c>
      <c r="AI31" t="s">
        <v>40</v>
      </c>
      <c r="AJ31" t="s">
        <v>40</v>
      </c>
      <c r="AK31" t="s">
        <v>40</v>
      </c>
      <c r="AL31" t="s">
        <v>40</v>
      </c>
      <c r="AM31" t="s">
        <v>40</v>
      </c>
    </row>
    <row r="32" spans="1:39" x14ac:dyDescent="0.2">
      <c r="A32" s="4" t="s">
        <v>182</v>
      </c>
      <c r="B32" s="4" t="s">
        <v>1557</v>
      </c>
      <c r="C32" s="4" t="s">
        <v>1707</v>
      </c>
      <c r="D32" s="4" t="s">
        <v>51</v>
      </c>
      <c r="E32" s="4" t="s">
        <v>51</v>
      </c>
      <c r="F32" t="s">
        <v>183</v>
      </c>
      <c r="G32" t="s">
        <v>184</v>
      </c>
      <c r="H32" t="s">
        <v>185</v>
      </c>
      <c r="I32" t="s">
        <v>40</v>
      </c>
      <c r="J32" t="s">
        <v>40</v>
      </c>
      <c r="K32" t="s">
        <v>40</v>
      </c>
      <c r="L32" t="s">
        <v>40</v>
      </c>
      <c r="M32">
        <v>0</v>
      </c>
      <c r="N32">
        <v>100</v>
      </c>
      <c r="O32">
        <v>1</v>
      </c>
      <c r="P32">
        <v>0</v>
      </c>
      <c r="Q32" t="s">
        <v>77</v>
      </c>
      <c r="R32" t="b">
        <v>0</v>
      </c>
      <c r="S32" t="s">
        <v>40</v>
      </c>
      <c r="T32" s="1">
        <v>44953</v>
      </c>
      <c r="U32" t="s">
        <v>40</v>
      </c>
      <c r="V32" t="s">
        <v>47</v>
      </c>
      <c r="W32" t="s">
        <v>40</v>
      </c>
      <c r="X32">
        <v>0</v>
      </c>
      <c r="Y32" t="s">
        <v>40</v>
      </c>
      <c r="Z32" t="s">
        <v>40</v>
      </c>
      <c r="AA32" t="s">
        <v>40</v>
      </c>
      <c r="AB32">
        <v>0</v>
      </c>
      <c r="AC32" t="s">
        <v>49</v>
      </c>
      <c r="AD32" t="s">
        <v>40</v>
      </c>
      <c r="AE32" t="s">
        <v>40</v>
      </c>
      <c r="AF32" t="s">
        <v>40</v>
      </c>
      <c r="AG32" t="s">
        <v>40</v>
      </c>
      <c r="AH32" t="s">
        <v>40</v>
      </c>
      <c r="AI32" t="s">
        <v>40</v>
      </c>
      <c r="AJ32" t="s">
        <v>40</v>
      </c>
      <c r="AK32" t="s">
        <v>40</v>
      </c>
      <c r="AL32" t="s">
        <v>40</v>
      </c>
      <c r="AM32" t="s">
        <v>40</v>
      </c>
    </row>
    <row r="33" spans="1:39" x14ac:dyDescent="0.2">
      <c r="A33" s="4" t="s">
        <v>186</v>
      </c>
      <c r="B33" s="4" t="s">
        <v>187</v>
      </c>
      <c r="C33" s="4" t="s">
        <v>40</v>
      </c>
      <c r="D33" s="4" t="s">
        <v>40</v>
      </c>
      <c r="E33" s="4" t="s">
        <v>40</v>
      </c>
      <c r="F33" t="s">
        <v>40</v>
      </c>
      <c r="G33" t="s">
        <v>186</v>
      </c>
      <c r="H33" t="s">
        <v>40</v>
      </c>
      <c r="I33" t="s">
        <v>40</v>
      </c>
      <c r="J33" t="s">
        <v>40</v>
      </c>
      <c r="K33" t="s">
        <v>40</v>
      </c>
      <c r="L33" t="s">
        <v>40</v>
      </c>
      <c r="M33">
        <v>111.32000000000001</v>
      </c>
      <c r="N33">
        <v>500</v>
      </c>
      <c r="O33">
        <v>2</v>
      </c>
      <c r="P33">
        <v>30</v>
      </c>
      <c r="Q33" t="s">
        <v>77</v>
      </c>
      <c r="R33" t="b">
        <v>0</v>
      </c>
      <c r="S33" t="s">
        <v>46</v>
      </c>
      <c r="T33">
        <v>45300</v>
      </c>
      <c r="U33" t="s">
        <v>40</v>
      </c>
      <c r="V33" t="s">
        <v>47</v>
      </c>
      <c r="W33" t="s">
        <v>40</v>
      </c>
      <c r="X33">
        <v>0</v>
      </c>
      <c r="Y33" t="s">
        <v>40</v>
      </c>
      <c r="Z33" t="s">
        <v>40</v>
      </c>
      <c r="AA33" t="s">
        <v>40</v>
      </c>
      <c r="AB33">
        <v>0</v>
      </c>
      <c r="AC33" t="s">
        <v>49</v>
      </c>
      <c r="AD33" t="s">
        <v>40</v>
      </c>
      <c r="AE33" t="s">
        <v>40</v>
      </c>
      <c r="AF33" t="s">
        <v>40</v>
      </c>
      <c r="AG33" t="s">
        <v>40</v>
      </c>
      <c r="AH33" t="s">
        <v>40</v>
      </c>
      <c r="AI33" t="s">
        <v>40</v>
      </c>
      <c r="AJ33" t="s">
        <v>40</v>
      </c>
      <c r="AK33" t="s">
        <v>40</v>
      </c>
      <c r="AL33" t="s">
        <v>40</v>
      </c>
      <c r="AM33" t="s">
        <v>40</v>
      </c>
    </row>
    <row r="34" spans="1:39" x14ac:dyDescent="0.2">
      <c r="A34" s="4" t="s">
        <v>188</v>
      </c>
      <c r="B34" s="4" t="s">
        <v>189</v>
      </c>
      <c r="C34" s="4" t="s">
        <v>40</v>
      </c>
      <c r="D34" s="4" t="s">
        <v>40</v>
      </c>
      <c r="E34" s="4" t="s">
        <v>40</v>
      </c>
      <c r="F34" t="s">
        <v>40</v>
      </c>
      <c r="G34" t="s">
        <v>188</v>
      </c>
      <c r="H34" t="s">
        <v>40</v>
      </c>
      <c r="I34" t="s">
        <v>40</v>
      </c>
      <c r="J34" t="s">
        <v>40</v>
      </c>
      <c r="K34" t="s">
        <v>40</v>
      </c>
      <c r="L34" t="s">
        <v>40</v>
      </c>
      <c r="M34">
        <v>0</v>
      </c>
      <c r="N34">
        <v>500</v>
      </c>
      <c r="O34">
        <v>2</v>
      </c>
      <c r="P34">
        <v>30</v>
      </c>
      <c r="Q34" t="s">
        <v>77</v>
      </c>
      <c r="R34" t="b">
        <v>0</v>
      </c>
      <c r="S34" t="s">
        <v>40</v>
      </c>
      <c r="T34" s="1" t="s">
        <v>49</v>
      </c>
      <c r="U34" t="s">
        <v>40</v>
      </c>
      <c r="V34" t="s">
        <v>47</v>
      </c>
      <c r="W34" t="s">
        <v>40</v>
      </c>
      <c r="X34">
        <v>0</v>
      </c>
      <c r="Y34" t="s">
        <v>40</v>
      </c>
      <c r="Z34" t="s">
        <v>40</v>
      </c>
      <c r="AA34" t="s">
        <v>40</v>
      </c>
      <c r="AB34">
        <v>0</v>
      </c>
      <c r="AC34" t="s">
        <v>49</v>
      </c>
      <c r="AD34" t="s">
        <v>40</v>
      </c>
      <c r="AE34" t="s">
        <v>40</v>
      </c>
      <c r="AF34" t="s">
        <v>40</v>
      </c>
      <c r="AG34" t="s">
        <v>40</v>
      </c>
      <c r="AH34" t="s">
        <v>40</v>
      </c>
      <c r="AI34" t="s">
        <v>40</v>
      </c>
      <c r="AJ34" t="s">
        <v>40</v>
      </c>
      <c r="AK34" t="s">
        <v>40</v>
      </c>
      <c r="AL34" t="s">
        <v>40</v>
      </c>
      <c r="AM34" t="s">
        <v>40</v>
      </c>
    </row>
    <row r="35" spans="1:39" x14ac:dyDescent="0.2">
      <c r="A35" s="4" t="s">
        <v>190</v>
      </c>
      <c r="B35" s="4" t="s">
        <v>1558</v>
      </c>
      <c r="C35" s="4" t="s">
        <v>1708</v>
      </c>
      <c r="D35" s="4" t="s">
        <v>40</v>
      </c>
      <c r="E35" s="4" t="s">
        <v>40</v>
      </c>
      <c r="F35" t="s">
        <v>191</v>
      </c>
      <c r="G35" t="s">
        <v>192</v>
      </c>
      <c r="H35" t="s">
        <v>193</v>
      </c>
      <c r="I35" t="s">
        <v>40</v>
      </c>
      <c r="J35" t="s">
        <v>40</v>
      </c>
      <c r="K35" t="s">
        <v>40</v>
      </c>
      <c r="L35" t="s">
        <v>40</v>
      </c>
      <c r="M35">
        <v>43.4</v>
      </c>
      <c r="N35">
        <v>100</v>
      </c>
      <c r="O35">
        <v>1</v>
      </c>
      <c r="P35">
        <v>0</v>
      </c>
      <c r="Q35" t="s">
        <v>77</v>
      </c>
      <c r="R35" t="b">
        <v>0</v>
      </c>
      <c r="S35" t="s">
        <v>40</v>
      </c>
      <c r="T35">
        <v>45122</v>
      </c>
      <c r="U35" t="s">
        <v>40</v>
      </c>
      <c r="V35" t="s">
        <v>47</v>
      </c>
      <c r="W35" t="s">
        <v>40</v>
      </c>
      <c r="X35">
        <v>0</v>
      </c>
      <c r="Y35" t="s">
        <v>40</v>
      </c>
      <c r="Z35" t="s">
        <v>40</v>
      </c>
      <c r="AA35" t="s">
        <v>40</v>
      </c>
      <c r="AB35">
        <v>0</v>
      </c>
      <c r="AC35" t="s">
        <v>49</v>
      </c>
      <c r="AD35" t="s">
        <v>40</v>
      </c>
      <c r="AE35" t="s">
        <v>40</v>
      </c>
      <c r="AF35" t="s">
        <v>40</v>
      </c>
      <c r="AG35" t="s">
        <v>40</v>
      </c>
      <c r="AH35" t="s">
        <v>40</v>
      </c>
      <c r="AI35" t="s">
        <v>40</v>
      </c>
      <c r="AJ35" t="s">
        <v>40</v>
      </c>
      <c r="AK35" t="s">
        <v>40</v>
      </c>
      <c r="AL35" t="s">
        <v>40</v>
      </c>
      <c r="AM35" t="s">
        <v>40</v>
      </c>
    </row>
    <row r="36" spans="1:39" x14ac:dyDescent="0.2">
      <c r="A36" s="4" t="s">
        <v>194</v>
      </c>
      <c r="B36" s="4" t="s">
        <v>1559</v>
      </c>
      <c r="C36" s="4" t="s">
        <v>1709</v>
      </c>
      <c r="D36" s="4" t="s">
        <v>51</v>
      </c>
      <c r="E36" s="4" t="s">
        <v>51</v>
      </c>
      <c r="F36" t="s">
        <v>40</v>
      </c>
      <c r="G36" t="s">
        <v>194</v>
      </c>
      <c r="H36" t="s">
        <v>40</v>
      </c>
      <c r="I36" t="s">
        <v>40</v>
      </c>
      <c r="J36" t="s">
        <v>40</v>
      </c>
      <c r="K36" t="s">
        <v>40</v>
      </c>
      <c r="L36" t="s">
        <v>40</v>
      </c>
      <c r="M36">
        <v>0</v>
      </c>
      <c r="N36">
        <v>50</v>
      </c>
      <c r="O36">
        <v>2</v>
      </c>
      <c r="P36">
        <v>30</v>
      </c>
      <c r="Q36" t="s">
        <v>77</v>
      </c>
      <c r="R36" t="b">
        <v>0</v>
      </c>
      <c r="S36" t="s">
        <v>40</v>
      </c>
      <c r="T36" s="1" t="s">
        <v>49</v>
      </c>
      <c r="U36" t="s">
        <v>40</v>
      </c>
      <c r="V36" t="s">
        <v>47</v>
      </c>
      <c r="W36" t="s">
        <v>40</v>
      </c>
      <c r="X36">
        <v>0</v>
      </c>
      <c r="Y36" t="s">
        <v>40</v>
      </c>
      <c r="Z36" t="s">
        <v>40</v>
      </c>
      <c r="AA36" t="s">
        <v>40</v>
      </c>
      <c r="AB36">
        <v>0</v>
      </c>
      <c r="AC36" t="s">
        <v>49</v>
      </c>
      <c r="AD36" t="s">
        <v>40</v>
      </c>
      <c r="AE36" t="s">
        <v>40</v>
      </c>
      <c r="AF36" t="s">
        <v>40</v>
      </c>
      <c r="AG36" t="s">
        <v>40</v>
      </c>
      <c r="AH36" t="s">
        <v>40</v>
      </c>
      <c r="AI36" t="s">
        <v>40</v>
      </c>
      <c r="AJ36" t="s">
        <v>40</v>
      </c>
      <c r="AK36" t="s">
        <v>40</v>
      </c>
      <c r="AL36" t="s">
        <v>40</v>
      </c>
      <c r="AM36" t="s">
        <v>40</v>
      </c>
    </row>
    <row r="37" spans="1:39" x14ac:dyDescent="0.2">
      <c r="A37" s="4" t="s">
        <v>195</v>
      </c>
      <c r="B37" s="4" t="s">
        <v>196</v>
      </c>
      <c r="C37" s="4" t="s">
        <v>197</v>
      </c>
      <c r="D37" s="4" t="s">
        <v>40</v>
      </c>
      <c r="E37" s="4" t="s">
        <v>40</v>
      </c>
      <c r="F37" t="s">
        <v>40</v>
      </c>
      <c r="G37" t="s">
        <v>195</v>
      </c>
      <c r="H37" t="s">
        <v>40</v>
      </c>
      <c r="I37" t="s">
        <v>40</v>
      </c>
      <c r="J37" t="s">
        <v>40</v>
      </c>
      <c r="K37" t="s">
        <v>40</v>
      </c>
      <c r="L37" t="s">
        <v>40</v>
      </c>
      <c r="M37">
        <v>258.85000000000002</v>
      </c>
      <c r="N37">
        <v>900</v>
      </c>
      <c r="O37">
        <v>1</v>
      </c>
      <c r="P37">
        <v>0</v>
      </c>
      <c r="Q37" t="s">
        <v>77</v>
      </c>
      <c r="R37" t="b">
        <v>0</v>
      </c>
      <c r="S37" t="s">
        <v>59</v>
      </c>
      <c r="T37" s="1">
        <v>45317</v>
      </c>
      <c r="U37" t="s">
        <v>40</v>
      </c>
      <c r="V37" t="s">
        <v>47</v>
      </c>
      <c r="W37" t="s">
        <v>40</v>
      </c>
      <c r="X37">
        <v>0</v>
      </c>
      <c r="Y37" t="s">
        <v>40</v>
      </c>
      <c r="Z37" t="s">
        <v>40</v>
      </c>
      <c r="AA37" t="s">
        <v>40</v>
      </c>
      <c r="AB37">
        <v>0</v>
      </c>
      <c r="AC37" t="s">
        <v>49</v>
      </c>
      <c r="AD37" t="s">
        <v>40</v>
      </c>
      <c r="AE37" t="s">
        <v>40</v>
      </c>
      <c r="AF37" t="s">
        <v>40</v>
      </c>
      <c r="AG37" t="s">
        <v>40</v>
      </c>
      <c r="AH37" t="s">
        <v>40</v>
      </c>
      <c r="AI37" t="s">
        <v>40</v>
      </c>
      <c r="AJ37" t="s">
        <v>40</v>
      </c>
      <c r="AK37" t="s">
        <v>40</v>
      </c>
      <c r="AL37" t="s">
        <v>40</v>
      </c>
      <c r="AM37" t="s">
        <v>40</v>
      </c>
    </row>
    <row r="38" spans="1:39" x14ac:dyDescent="0.2">
      <c r="A38" s="4" t="s">
        <v>200</v>
      </c>
      <c r="B38" s="4" t="s">
        <v>198</v>
      </c>
      <c r="C38" s="4" t="s">
        <v>199</v>
      </c>
      <c r="D38" s="4" t="s">
        <v>40</v>
      </c>
      <c r="E38" s="4" t="s">
        <v>40</v>
      </c>
      <c r="F38" t="s">
        <v>40</v>
      </c>
      <c r="G38" t="s">
        <v>200</v>
      </c>
      <c r="H38" t="s">
        <v>40</v>
      </c>
      <c r="I38" t="s">
        <v>40</v>
      </c>
      <c r="J38" t="s">
        <v>40</v>
      </c>
      <c r="K38" t="s">
        <v>40</v>
      </c>
      <c r="L38" t="s">
        <v>40</v>
      </c>
      <c r="M38">
        <v>147.46</v>
      </c>
      <c r="N38">
        <v>1200</v>
      </c>
      <c r="O38">
        <v>1</v>
      </c>
      <c r="P38">
        <v>0</v>
      </c>
      <c r="Q38" t="s">
        <v>77</v>
      </c>
      <c r="R38" t="b">
        <v>0</v>
      </c>
      <c r="S38" t="s">
        <v>59</v>
      </c>
      <c r="T38" s="1">
        <v>45323</v>
      </c>
      <c r="U38" t="s">
        <v>40</v>
      </c>
      <c r="V38" t="s">
        <v>47</v>
      </c>
      <c r="W38" t="s">
        <v>40</v>
      </c>
      <c r="X38">
        <v>0</v>
      </c>
      <c r="Y38" t="s">
        <v>40</v>
      </c>
      <c r="Z38" t="s">
        <v>40</v>
      </c>
      <c r="AA38" t="s">
        <v>40</v>
      </c>
      <c r="AB38">
        <v>0</v>
      </c>
      <c r="AC38" t="s">
        <v>49</v>
      </c>
      <c r="AD38" t="s">
        <v>40</v>
      </c>
      <c r="AE38" t="s">
        <v>40</v>
      </c>
      <c r="AF38" t="s">
        <v>40</v>
      </c>
      <c r="AG38" t="s">
        <v>40</v>
      </c>
      <c r="AH38" t="s">
        <v>40</v>
      </c>
      <c r="AI38" t="s">
        <v>40</v>
      </c>
      <c r="AJ38" t="s">
        <v>40</v>
      </c>
      <c r="AK38" t="s">
        <v>40</v>
      </c>
      <c r="AL38" t="s">
        <v>40</v>
      </c>
      <c r="AM38" t="s">
        <v>40</v>
      </c>
    </row>
    <row r="39" spans="1:39" x14ac:dyDescent="0.2">
      <c r="A39" s="4" t="s">
        <v>201</v>
      </c>
      <c r="B39" s="4" t="s">
        <v>202</v>
      </c>
      <c r="C39" s="4" t="s">
        <v>203</v>
      </c>
      <c r="D39" s="4" t="s">
        <v>40</v>
      </c>
      <c r="E39" s="4" t="s">
        <v>40</v>
      </c>
      <c r="F39" t="s">
        <v>40</v>
      </c>
      <c r="G39" t="s">
        <v>201</v>
      </c>
      <c r="H39" t="s">
        <v>40</v>
      </c>
      <c r="I39" t="s">
        <v>40</v>
      </c>
      <c r="J39" t="s">
        <v>40</v>
      </c>
      <c r="K39" t="s">
        <v>40</v>
      </c>
      <c r="L39" t="s">
        <v>40</v>
      </c>
      <c r="M39">
        <v>241.10000000000002</v>
      </c>
      <c r="N39">
        <v>1200</v>
      </c>
      <c r="O39">
        <v>1</v>
      </c>
      <c r="P39">
        <v>0</v>
      </c>
      <c r="Q39" t="s">
        <v>77</v>
      </c>
      <c r="R39" t="b">
        <v>0</v>
      </c>
      <c r="S39" t="s">
        <v>59</v>
      </c>
      <c r="T39" s="1">
        <v>45316</v>
      </c>
      <c r="U39" t="s">
        <v>40</v>
      </c>
      <c r="V39" t="s">
        <v>47</v>
      </c>
      <c r="W39" t="s">
        <v>40</v>
      </c>
      <c r="X39">
        <v>0</v>
      </c>
      <c r="Y39" t="s">
        <v>40</v>
      </c>
      <c r="Z39" t="s">
        <v>40</v>
      </c>
      <c r="AA39" t="s">
        <v>40</v>
      </c>
      <c r="AB39">
        <v>0</v>
      </c>
      <c r="AC39" t="s">
        <v>49</v>
      </c>
      <c r="AD39" t="s">
        <v>40</v>
      </c>
      <c r="AE39" t="s">
        <v>40</v>
      </c>
      <c r="AF39" t="s">
        <v>40</v>
      </c>
      <c r="AG39" t="s">
        <v>40</v>
      </c>
      <c r="AH39" t="s">
        <v>40</v>
      </c>
      <c r="AI39" t="s">
        <v>40</v>
      </c>
      <c r="AJ39" t="s">
        <v>40</v>
      </c>
      <c r="AK39" t="s">
        <v>40</v>
      </c>
      <c r="AL39" t="s">
        <v>40</v>
      </c>
      <c r="AM39" t="s">
        <v>40</v>
      </c>
    </row>
    <row r="40" spans="1:39" x14ac:dyDescent="0.2">
      <c r="A40" s="4" t="s">
        <v>206</v>
      </c>
      <c r="B40" s="4" t="s">
        <v>204</v>
      </c>
      <c r="C40" s="4" t="s">
        <v>205</v>
      </c>
      <c r="D40" s="4" t="s">
        <v>40</v>
      </c>
      <c r="E40" s="4" t="s">
        <v>40</v>
      </c>
      <c r="F40" t="s">
        <v>40</v>
      </c>
      <c r="G40" t="s">
        <v>206</v>
      </c>
      <c r="H40" t="s">
        <v>40</v>
      </c>
      <c r="I40" t="s">
        <v>40</v>
      </c>
      <c r="J40" t="s">
        <v>40</v>
      </c>
      <c r="K40" t="s">
        <v>40</v>
      </c>
      <c r="L40" t="s">
        <v>40</v>
      </c>
      <c r="M40">
        <v>82.05</v>
      </c>
      <c r="N40">
        <v>1200</v>
      </c>
      <c r="O40">
        <v>1</v>
      </c>
      <c r="P40">
        <v>0</v>
      </c>
      <c r="Q40" t="s">
        <v>77</v>
      </c>
      <c r="R40" t="b">
        <v>0</v>
      </c>
      <c r="S40" t="s">
        <v>59</v>
      </c>
      <c r="T40" s="1">
        <v>45292</v>
      </c>
      <c r="U40" t="s">
        <v>40</v>
      </c>
      <c r="V40" t="s">
        <v>47</v>
      </c>
      <c r="W40" t="s">
        <v>40</v>
      </c>
      <c r="X40">
        <v>0</v>
      </c>
      <c r="Y40" t="s">
        <v>40</v>
      </c>
      <c r="Z40" t="s">
        <v>40</v>
      </c>
      <c r="AA40" t="s">
        <v>40</v>
      </c>
      <c r="AB40">
        <v>0</v>
      </c>
      <c r="AC40" t="s">
        <v>49</v>
      </c>
      <c r="AD40" t="s">
        <v>40</v>
      </c>
      <c r="AE40" t="s">
        <v>40</v>
      </c>
      <c r="AF40" t="s">
        <v>40</v>
      </c>
      <c r="AG40" t="s">
        <v>40</v>
      </c>
      <c r="AH40" t="s">
        <v>40</v>
      </c>
      <c r="AI40" t="s">
        <v>40</v>
      </c>
      <c r="AJ40" t="s">
        <v>40</v>
      </c>
      <c r="AK40" t="s">
        <v>40</v>
      </c>
      <c r="AL40" t="s">
        <v>40</v>
      </c>
      <c r="AM40" t="s">
        <v>40</v>
      </c>
    </row>
    <row r="41" spans="1:39" x14ac:dyDescent="0.2">
      <c r="A41" s="4" t="s">
        <v>207</v>
      </c>
      <c r="B41" s="4" t="s">
        <v>208</v>
      </c>
      <c r="C41" s="4" t="s">
        <v>62</v>
      </c>
      <c r="D41" s="4" t="s">
        <v>40</v>
      </c>
      <c r="E41" s="4" t="s">
        <v>40</v>
      </c>
      <c r="F41" t="s">
        <v>40</v>
      </c>
      <c r="G41" t="s">
        <v>207</v>
      </c>
      <c r="H41" t="s">
        <v>40</v>
      </c>
      <c r="I41" t="s">
        <v>40</v>
      </c>
      <c r="J41" t="s">
        <v>40</v>
      </c>
      <c r="K41" t="s">
        <v>40</v>
      </c>
      <c r="L41" t="s">
        <v>40</v>
      </c>
      <c r="M41">
        <v>170.20000000000002</v>
      </c>
      <c r="N41">
        <v>500</v>
      </c>
      <c r="O41">
        <v>1</v>
      </c>
      <c r="P41">
        <v>0</v>
      </c>
      <c r="Q41" t="s">
        <v>77</v>
      </c>
      <c r="R41" t="b">
        <v>0</v>
      </c>
      <c r="S41" t="s">
        <v>59</v>
      </c>
      <c r="T41" s="1">
        <v>45317</v>
      </c>
      <c r="U41" t="s">
        <v>40</v>
      </c>
      <c r="V41" t="s">
        <v>47</v>
      </c>
      <c r="W41" t="s">
        <v>40</v>
      </c>
      <c r="X41">
        <v>0</v>
      </c>
      <c r="Y41" t="s">
        <v>40</v>
      </c>
      <c r="Z41" t="s">
        <v>40</v>
      </c>
      <c r="AA41" t="s">
        <v>40</v>
      </c>
      <c r="AB41">
        <v>0</v>
      </c>
      <c r="AC41" t="s">
        <v>49</v>
      </c>
      <c r="AD41" t="s">
        <v>40</v>
      </c>
      <c r="AE41" t="s">
        <v>40</v>
      </c>
      <c r="AF41" t="s">
        <v>40</v>
      </c>
      <c r="AG41" t="s">
        <v>40</v>
      </c>
      <c r="AH41" t="s">
        <v>40</v>
      </c>
      <c r="AI41" t="s">
        <v>40</v>
      </c>
      <c r="AJ41" t="s">
        <v>40</v>
      </c>
      <c r="AK41" t="s">
        <v>40</v>
      </c>
      <c r="AL41" t="s">
        <v>40</v>
      </c>
      <c r="AM41" t="s">
        <v>40</v>
      </c>
    </row>
    <row r="42" spans="1:39" x14ac:dyDescent="0.2">
      <c r="A42" s="4" t="s">
        <v>209</v>
      </c>
      <c r="B42" s="4" t="s">
        <v>210</v>
      </c>
      <c r="C42" s="4" t="s">
        <v>211</v>
      </c>
      <c r="D42" s="4" t="s">
        <v>40</v>
      </c>
      <c r="E42" s="4" t="s">
        <v>40</v>
      </c>
      <c r="F42" t="s">
        <v>40</v>
      </c>
      <c r="G42" t="s">
        <v>209</v>
      </c>
      <c r="H42" t="s">
        <v>40</v>
      </c>
      <c r="I42" t="s">
        <v>40</v>
      </c>
      <c r="J42" t="s">
        <v>40</v>
      </c>
      <c r="K42" t="s">
        <v>40</v>
      </c>
      <c r="L42" t="s">
        <v>40</v>
      </c>
      <c r="M42">
        <v>376.3</v>
      </c>
      <c r="N42">
        <v>200</v>
      </c>
      <c r="O42">
        <v>1</v>
      </c>
      <c r="P42">
        <v>0</v>
      </c>
      <c r="Q42" t="s">
        <v>77</v>
      </c>
      <c r="R42" t="b">
        <v>0</v>
      </c>
      <c r="S42" t="s">
        <v>59</v>
      </c>
      <c r="T42" s="1">
        <v>45225</v>
      </c>
      <c r="U42" t="s">
        <v>40</v>
      </c>
      <c r="V42" t="s">
        <v>47</v>
      </c>
      <c r="W42" t="s">
        <v>40</v>
      </c>
      <c r="X42">
        <v>0</v>
      </c>
      <c r="Y42" t="s">
        <v>40</v>
      </c>
      <c r="Z42" t="s">
        <v>40</v>
      </c>
      <c r="AA42" t="s">
        <v>40</v>
      </c>
      <c r="AB42">
        <v>0</v>
      </c>
      <c r="AC42" t="s">
        <v>49</v>
      </c>
      <c r="AD42" t="s">
        <v>40</v>
      </c>
      <c r="AE42" t="s">
        <v>40</v>
      </c>
      <c r="AF42" t="s">
        <v>40</v>
      </c>
      <c r="AG42" t="s">
        <v>40</v>
      </c>
      <c r="AH42" t="s">
        <v>40</v>
      </c>
      <c r="AI42" t="s">
        <v>40</v>
      </c>
      <c r="AJ42" t="s">
        <v>40</v>
      </c>
      <c r="AK42" t="s">
        <v>40</v>
      </c>
      <c r="AL42" t="s">
        <v>40</v>
      </c>
      <c r="AM42" t="s">
        <v>40</v>
      </c>
    </row>
    <row r="43" spans="1:39" x14ac:dyDescent="0.2">
      <c r="A43" s="4" t="s">
        <v>212</v>
      </c>
      <c r="B43" s="4" t="s">
        <v>213</v>
      </c>
      <c r="C43" s="4" t="s">
        <v>214</v>
      </c>
      <c r="D43" s="4" t="s">
        <v>40</v>
      </c>
      <c r="E43" s="4" t="s">
        <v>40</v>
      </c>
      <c r="F43" t="s">
        <v>40</v>
      </c>
      <c r="G43" t="s">
        <v>212</v>
      </c>
      <c r="H43" t="s">
        <v>40</v>
      </c>
      <c r="I43" t="s">
        <v>40</v>
      </c>
      <c r="J43" t="s">
        <v>40</v>
      </c>
      <c r="K43" t="s">
        <v>40</v>
      </c>
      <c r="L43" t="s">
        <v>40</v>
      </c>
      <c r="M43">
        <v>0</v>
      </c>
      <c r="N43">
        <v>1200</v>
      </c>
      <c r="O43">
        <v>1</v>
      </c>
      <c r="P43">
        <v>0</v>
      </c>
      <c r="Q43" t="s">
        <v>77</v>
      </c>
      <c r="R43" t="b">
        <v>0</v>
      </c>
      <c r="S43" t="s">
        <v>59</v>
      </c>
      <c r="T43" s="1">
        <v>45239</v>
      </c>
      <c r="U43" t="s">
        <v>40</v>
      </c>
      <c r="V43" t="s">
        <v>47</v>
      </c>
      <c r="W43" t="s">
        <v>40</v>
      </c>
      <c r="X43">
        <v>0</v>
      </c>
      <c r="Y43" t="s">
        <v>40</v>
      </c>
      <c r="Z43" t="s">
        <v>40</v>
      </c>
      <c r="AA43" t="s">
        <v>40</v>
      </c>
      <c r="AB43">
        <v>0</v>
      </c>
      <c r="AC43" t="s">
        <v>49</v>
      </c>
      <c r="AD43" t="s">
        <v>40</v>
      </c>
      <c r="AE43" t="s">
        <v>40</v>
      </c>
      <c r="AF43" t="s">
        <v>40</v>
      </c>
      <c r="AG43" t="s">
        <v>40</v>
      </c>
      <c r="AH43" t="s">
        <v>40</v>
      </c>
      <c r="AI43" t="s">
        <v>40</v>
      </c>
      <c r="AJ43" t="s">
        <v>40</v>
      </c>
      <c r="AK43" t="s">
        <v>40</v>
      </c>
      <c r="AL43" t="s">
        <v>40</v>
      </c>
      <c r="AM43" t="s">
        <v>40</v>
      </c>
    </row>
    <row r="44" spans="1:39" x14ac:dyDescent="0.2">
      <c r="A44" s="4" t="s">
        <v>215</v>
      </c>
      <c r="B44" s="4" t="s">
        <v>216</v>
      </c>
      <c r="C44" s="4" t="s">
        <v>217</v>
      </c>
      <c r="D44" s="4" t="s">
        <v>40</v>
      </c>
      <c r="E44" s="4" t="s">
        <v>40</v>
      </c>
      <c r="F44" t="s">
        <v>40</v>
      </c>
      <c r="G44" t="s">
        <v>215</v>
      </c>
      <c r="H44" t="s">
        <v>40</v>
      </c>
      <c r="I44" t="s">
        <v>40</v>
      </c>
      <c r="J44" t="s">
        <v>40</v>
      </c>
      <c r="K44" t="s">
        <v>40</v>
      </c>
      <c r="L44" t="s">
        <v>40</v>
      </c>
      <c r="M44">
        <v>0</v>
      </c>
      <c r="N44">
        <v>1000</v>
      </c>
      <c r="O44">
        <v>1</v>
      </c>
      <c r="P44">
        <v>0</v>
      </c>
      <c r="Q44" t="s">
        <v>77</v>
      </c>
      <c r="R44" t="b">
        <v>0</v>
      </c>
      <c r="S44" t="s">
        <v>59</v>
      </c>
      <c r="T44" s="1">
        <v>45239</v>
      </c>
      <c r="U44" t="s">
        <v>40</v>
      </c>
      <c r="V44" s="2" t="s">
        <v>47</v>
      </c>
      <c r="W44" t="s">
        <v>40</v>
      </c>
      <c r="X44">
        <v>0</v>
      </c>
      <c r="Y44" t="s">
        <v>40</v>
      </c>
      <c r="Z44" t="s">
        <v>40</v>
      </c>
      <c r="AA44" t="s">
        <v>40</v>
      </c>
      <c r="AB44">
        <v>0</v>
      </c>
      <c r="AC44" t="s">
        <v>49</v>
      </c>
      <c r="AD44" t="s">
        <v>40</v>
      </c>
      <c r="AE44" t="s">
        <v>40</v>
      </c>
      <c r="AF44" t="s">
        <v>40</v>
      </c>
      <c r="AG44" t="s">
        <v>40</v>
      </c>
      <c r="AH44" t="s">
        <v>40</v>
      </c>
      <c r="AI44" t="s">
        <v>40</v>
      </c>
      <c r="AJ44" t="s">
        <v>40</v>
      </c>
      <c r="AK44" t="s">
        <v>40</v>
      </c>
      <c r="AL44" t="s">
        <v>40</v>
      </c>
      <c r="AM44" t="s">
        <v>40</v>
      </c>
    </row>
    <row r="45" spans="1:39" x14ac:dyDescent="0.2">
      <c r="A45" s="4" t="s">
        <v>218</v>
      </c>
      <c r="B45" s="4" t="s">
        <v>219</v>
      </c>
      <c r="C45" s="4" t="s">
        <v>220</v>
      </c>
      <c r="D45" s="4" t="s">
        <v>40</v>
      </c>
      <c r="E45" s="4" t="s">
        <v>40</v>
      </c>
      <c r="F45" t="s">
        <v>40</v>
      </c>
      <c r="G45" t="s">
        <v>218</v>
      </c>
      <c r="H45" t="s">
        <v>40</v>
      </c>
      <c r="I45" t="s">
        <v>40</v>
      </c>
      <c r="J45" t="s">
        <v>40</v>
      </c>
      <c r="K45" t="s">
        <v>40</v>
      </c>
      <c r="L45" t="s">
        <v>40</v>
      </c>
      <c r="M45">
        <v>0</v>
      </c>
      <c r="N45">
        <v>2500</v>
      </c>
      <c r="O45">
        <v>1</v>
      </c>
      <c r="P45">
        <v>0</v>
      </c>
      <c r="Q45" t="s">
        <v>77</v>
      </c>
      <c r="R45" t="b">
        <v>0</v>
      </c>
      <c r="S45" t="s">
        <v>59</v>
      </c>
      <c r="T45" s="1">
        <v>45239</v>
      </c>
      <c r="U45" t="s">
        <v>40</v>
      </c>
      <c r="V45" s="2" t="s">
        <v>47</v>
      </c>
      <c r="W45" t="s">
        <v>40</v>
      </c>
      <c r="X45">
        <v>0</v>
      </c>
      <c r="Y45" t="s">
        <v>40</v>
      </c>
      <c r="Z45" t="s">
        <v>40</v>
      </c>
      <c r="AA45" t="s">
        <v>40</v>
      </c>
      <c r="AB45">
        <v>0</v>
      </c>
      <c r="AC45" t="s">
        <v>49</v>
      </c>
      <c r="AD45" t="s">
        <v>40</v>
      </c>
      <c r="AE45" t="s">
        <v>40</v>
      </c>
      <c r="AF45" t="s">
        <v>40</v>
      </c>
      <c r="AG45" t="s">
        <v>40</v>
      </c>
      <c r="AH45" t="s">
        <v>40</v>
      </c>
      <c r="AI45" t="s">
        <v>40</v>
      </c>
      <c r="AJ45" t="s">
        <v>40</v>
      </c>
      <c r="AK45" t="s">
        <v>40</v>
      </c>
      <c r="AL45" t="s">
        <v>40</v>
      </c>
      <c r="AM45" t="s">
        <v>40</v>
      </c>
    </row>
    <row r="46" spans="1:39" x14ac:dyDescent="0.2">
      <c r="A46" s="4" t="s">
        <v>221</v>
      </c>
      <c r="B46" s="4" t="s">
        <v>222</v>
      </c>
      <c r="C46" s="4" t="s">
        <v>223</v>
      </c>
      <c r="D46" s="4" t="s">
        <v>40</v>
      </c>
      <c r="E46" s="4" t="s">
        <v>40</v>
      </c>
      <c r="F46" t="s">
        <v>40</v>
      </c>
      <c r="G46" t="s">
        <v>221</v>
      </c>
      <c r="H46" t="s">
        <v>40</v>
      </c>
      <c r="I46" t="s">
        <v>40</v>
      </c>
      <c r="J46" t="s">
        <v>40</v>
      </c>
      <c r="K46" t="s">
        <v>40</v>
      </c>
      <c r="L46" t="s">
        <v>40</v>
      </c>
      <c r="M46">
        <v>0</v>
      </c>
      <c r="N46">
        <v>200</v>
      </c>
      <c r="O46">
        <v>1</v>
      </c>
      <c r="P46">
        <v>0</v>
      </c>
      <c r="Q46" t="s">
        <v>77</v>
      </c>
      <c r="R46" t="b">
        <v>0</v>
      </c>
      <c r="S46" t="s">
        <v>59</v>
      </c>
      <c r="T46">
        <v>45239</v>
      </c>
      <c r="U46" t="s">
        <v>40</v>
      </c>
      <c r="V46" s="2" t="s">
        <v>47</v>
      </c>
      <c r="W46" t="s">
        <v>40</v>
      </c>
      <c r="X46">
        <v>0</v>
      </c>
      <c r="Y46" t="s">
        <v>40</v>
      </c>
      <c r="Z46" t="s">
        <v>40</v>
      </c>
      <c r="AA46" t="s">
        <v>40</v>
      </c>
      <c r="AB46">
        <v>0</v>
      </c>
      <c r="AC46" t="s">
        <v>49</v>
      </c>
      <c r="AD46" t="s">
        <v>40</v>
      </c>
      <c r="AE46" t="s">
        <v>40</v>
      </c>
      <c r="AF46" t="s">
        <v>40</v>
      </c>
      <c r="AG46" t="s">
        <v>40</v>
      </c>
      <c r="AH46" t="s">
        <v>40</v>
      </c>
      <c r="AI46" t="s">
        <v>40</v>
      </c>
      <c r="AJ46" t="s">
        <v>40</v>
      </c>
      <c r="AK46" t="s">
        <v>40</v>
      </c>
      <c r="AL46" t="s">
        <v>40</v>
      </c>
      <c r="AM46" t="s">
        <v>40</v>
      </c>
    </row>
    <row r="47" spans="1:39" x14ac:dyDescent="0.2">
      <c r="A47" s="4" t="s">
        <v>224</v>
      </c>
      <c r="B47" s="4" t="s">
        <v>1560</v>
      </c>
      <c r="C47" s="4" t="s">
        <v>1710</v>
      </c>
      <c r="D47" s="4" t="s">
        <v>40</v>
      </c>
      <c r="E47" s="4" t="s">
        <v>225</v>
      </c>
      <c r="F47" t="s">
        <v>226</v>
      </c>
      <c r="G47" t="s">
        <v>227</v>
      </c>
      <c r="H47" t="s">
        <v>228</v>
      </c>
      <c r="I47" t="s">
        <v>40</v>
      </c>
      <c r="J47" t="s">
        <v>40</v>
      </c>
      <c r="K47" t="s">
        <v>40</v>
      </c>
      <c r="L47" t="s">
        <v>40</v>
      </c>
      <c r="M47">
        <v>0</v>
      </c>
      <c r="N47">
        <v>200</v>
      </c>
      <c r="O47">
        <v>2</v>
      </c>
      <c r="P47">
        <v>30</v>
      </c>
      <c r="Q47" t="s">
        <v>77</v>
      </c>
      <c r="R47" t="b">
        <v>0</v>
      </c>
      <c r="S47" t="s">
        <v>59</v>
      </c>
      <c r="T47" s="1">
        <v>44337</v>
      </c>
      <c r="U47" t="s">
        <v>229</v>
      </c>
      <c r="V47" s="2">
        <v>44217.610844895709</v>
      </c>
      <c r="W47" t="s">
        <v>40</v>
      </c>
      <c r="X47">
        <v>0</v>
      </c>
      <c r="Y47" t="s">
        <v>40</v>
      </c>
      <c r="Z47" t="s">
        <v>40</v>
      </c>
      <c r="AA47" t="s">
        <v>40</v>
      </c>
      <c r="AB47">
        <v>0</v>
      </c>
      <c r="AC47" t="s">
        <v>49</v>
      </c>
      <c r="AD47" t="s">
        <v>40</v>
      </c>
      <c r="AE47" t="s">
        <v>40</v>
      </c>
      <c r="AF47" t="s">
        <v>40</v>
      </c>
      <c r="AG47" t="s">
        <v>40</v>
      </c>
      <c r="AH47" t="s">
        <v>40</v>
      </c>
      <c r="AI47" t="s">
        <v>40</v>
      </c>
      <c r="AJ47" t="s">
        <v>40</v>
      </c>
      <c r="AK47" t="s">
        <v>40</v>
      </c>
      <c r="AL47" t="s">
        <v>40</v>
      </c>
      <c r="AM47" t="s">
        <v>40</v>
      </c>
    </row>
    <row r="48" spans="1:39" x14ac:dyDescent="0.2">
      <c r="A48" s="4" t="s">
        <v>230</v>
      </c>
      <c r="B48" s="4" t="s">
        <v>231</v>
      </c>
      <c r="C48" s="4" t="s">
        <v>40</v>
      </c>
      <c r="D48" s="4" t="s">
        <v>225</v>
      </c>
      <c r="E48" s="4" t="s">
        <v>40</v>
      </c>
      <c r="F48" t="s">
        <v>40</v>
      </c>
      <c r="G48" t="s">
        <v>232</v>
      </c>
      <c r="H48" t="s">
        <v>233</v>
      </c>
      <c r="I48" t="s">
        <v>40</v>
      </c>
      <c r="J48" t="s">
        <v>40</v>
      </c>
      <c r="K48" t="s">
        <v>40</v>
      </c>
      <c r="L48" t="s">
        <v>40</v>
      </c>
      <c r="M48">
        <v>0</v>
      </c>
      <c r="N48">
        <v>200</v>
      </c>
      <c r="O48">
        <v>1</v>
      </c>
      <c r="P48">
        <v>0</v>
      </c>
      <c r="Q48" t="s">
        <v>77</v>
      </c>
      <c r="R48" t="b">
        <v>0</v>
      </c>
      <c r="S48" t="s">
        <v>59</v>
      </c>
      <c r="T48">
        <v>44956</v>
      </c>
      <c r="U48" t="s">
        <v>229</v>
      </c>
      <c r="V48" s="2">
        <v>44217.617893506773</v>
      </c>
      <c r="W48" t="s">
        <v>40</v>
      </c>
      <c r="X48">
        <v>0</v>
      </c>
      <c r="Y48" t="s">
        <v>40</v>
      </c>
      <c r="Z48" t="s">
        <v>40</v>
      </c>
      <c r="AA48" t="s">
        <v>40</v>
      </c>
      <c r="AB48">
        <v>0</v>
      </c>
      <c r="AC48" t="s">
        <v>49</v>
      </c>
      <c r="AD48" t="s">
        <v>40</v>
      </c>
      <c r="AE48" t="s">
        <v>40</v>
      </c>
      <c r="AF48" t="s">
        <v>40</v>
      </c>
      <c r="AG48" t="s">
        <v>40</v>
      </c>
      <c r="AH48" t="s">
        <v>40</v>
      </c>
      <c r="AI48" t="s">
        <v>40</v>
      </c>
      <c r="AJ48" t="s">
        <v>40</v>
      </c>
      <c r="AK48" t="s">
        <v>40</v>
      </c>
      <c r="AL48" t="s">
        <v>40</v>
      </c>
      <c r="AM48" t="s">
        <v>40</v>
      </c>
    </row>
    <row r="49" spans="1:39" x14ac:dyDescent="0.2">
      <c r="A49" s="4" t="s">
        <v>234</v>
      </c>
      <c r="B49" s="4" t="s">
        <v>235</v>
      </c>
      <c r="C49" s="4" t="s">
        <v>1711</v>
      </c>
      <c r="D49" s="4" t="s">
        <v>40</v>
      </c>
      <c r="E49" s="4" t="s">
        <v>40</v>
      </c>
      <c r="F49" t="s">
        <v>40</v>
      </c>
      <c r="G49" t="s">
        <v>236</v>
      </c>
      <c r="H49" t="s">
        <v>237</v>
      </c>
      <c r="I49" t="s">
        <v>40</v>
      </c>
      <c r="J49" t="s">
        <v>40</v>
      </c>
      <c r="K49" t="s">
        <v>40</v>
      </c>
      <c r="L49" t="s">
        <v>40</v>
      </c>
      <c r="M49">
        <v>0</v>
      </c>
      <c r="N49">
        <v>200</v>
      </c>
      <c r="O49">
        <v>2</v>
      </c>
      <c r="P49">
        <v>30</v>
      </c>
      <c r="Q49" t="s">
        <v>77</v>
      </c>
      <c r="R49" t="b">
        <v>0</v>
      </c>
      <c r="S49" t="s">
        <v>59</v>
      </c>
      <c r="T49" s="1" t="s">
        <v>49</v>
      </c>
      <c r="U49" t="s">
        <v>229</v>
      </c>
      <c r="V49" s="2">
        <v>44217.6189930439</v>
      </c>
      <c r="W49" t="s">
        <v>40</v>
      </c>
      <c r="X49">
        <v>0</v>
      </c>
      <c r="Y49" t="s">
        <v>40</v>
      </c>
      <c r="Z49" t="s">
        <v>40</v>
      </c>
      <c r="AA49" t="s">
        <v>40</v>
      </c>
      <c r="AB49">
        <v>0</v>
      </c>
      <c r="AC49" t="s">
        <v>49</v>
      </c>
      <c r="AD49" t="s">
        <v>40</v>
      </c>
      <c r="AE49" t="s">
        <v>40</v>
      </c>
      <c r="AF49" t="s">
        <v>40</v>
      </c>
      <c r="AG49" t="s">
        <v>40</v>
      </c>
      <c r="AH49" t="s">
        <v>40</v>
      </c>
      <c r="AI49" t="s">
        <v>40</v>
      </c>
      <c r="AJ49" t="s">
        <v>40</v>
      </c>
      <c r="AK49" t="s">
        <v>40</v>
      </c>
      <c r="AL49" t="s">
        <v>40</v>
      </c>
      <c r="AM49" t="s">
        <v>40</v>
      </c>
    </row>
    <row r="50" spans="1:39" x14ac:dyDescent="0.2">
      <c r="A50" s="4" t="s">
        <v>238</v>
      </c>
      <c r="B50" s="4" t="s">
        <v>1561</v>
      </c>
      <c r="C50" s="4" t="s">
        <v>1712</v>
      </c>
      <c r="D50" s="4" t="s">
        <v>225</v>
      </c>
      <c r="E50" s="4" t="s">
        <v>225</v>
      </c>
      <c r="F50" t="s">
        <v>239</v>
      </c>
      <c r="G50" t="s">
        <v>240</v>
      </c>
      <c r="H50" t="s">
        <v>241</v>
      </c>
      <c r="I50" t="s">
        <v>40</v>
      </c>
      <c r="J50" t="s">
        <v>40</v>
      </c>
      <c r="K50" t="s">
        <v>40</v>
      </c>
      <c r="L50" t="s">
        <v>40</v>
      </c>
      <c r="M50">
        <v>9.8000000000000007</v>
      </c>
      <c r="N50">
        <v>200</v>
      </c>
      <c r="O50">
        <v>1</v>
      </c>
      <c r="P50">
        <v>0</v>
      </c>
      <c r="Q50" t="s">
        <v>77</v>
      </c>
      <c r="R50" t="b">
        <v>0</v>
      </c>
      <c r="S50" t="s">
        <v>46</v>
      </c>
      <c r="T50" s="1">
        <v>44956</v>
      </c>
      <c r="U50" t="s">
        <v>229</v>
      </c>
      <c r="V50" s="2">
        <v>44217.620925926138</v>
      </c>
      <c r="W50" t="s">
        <v>40</v>
      </c>
      <c r="X50">
        <v>0</v>
      </c>
      <c r="Y50" t="s">
        <v>40</v>
      </c>
      <c r="Z50" t="s">
        <v>40</v>
      </c>
      <c r="AA50" t="s">
        <v>40</v>
      </c>
      <c r="AB50">
        <v>0</v>
      </c>
      <c r="AC50" t="s">
        <v>49</v>
      </c>
      <c r="AD50" t="s">
        <v>40</v>
      </c>
      <c r="AE50" t="s">
        <v>40</v>
      </c>
      <c r="AF50" t="s">
        <v>40</v>
      </c>
      <c r="AG50" t="s">
        <v>40</v>
      </c>
      <c r="AH50" t="s">
        <v>40</v>
      </c>
      <c r="AI50" t="s">
        <v>40</v>
      </c>
      <c r="AJ50" t="s">
        <v>40</v>
      </c>
      <c r="AK50" t="s">
        <v>40</v>
      </c>
      <c r="AL50" t="s">
        <v>40</v>
      </c>
      <c r="AM50" t="s">
        <v>40</v>
      </c>
    </row>
    <row r="51" spans="1:39" x14ac:dyDescent="0.2">
      <c r="A51" s="4" t="s">
        <v>242</v>
      </c>
      <c r="B51" s="4" t="s">
        <v>1562</v>
      </c>
      <c r="C51" s="4" t="s">
        <v>1713</v>
      </c>
      <c r="D51" s="4" t="s">
        <v>225</v>
      </c>
      <c r="E51" s="4" t="s">
        <v>225</v>
      </c>
      <c r="F51" t="s">
        <v>243</v>
      </c>
      <c r="G51" t="s">
        <v>244</v>
      </c>
      <c r="H51" t="s">
        <v>245</v>
      </c>
      <c r="I51" t="s">
        <v>40</v>
      </c>
      <c r="J51" t="s">
        <v>40</v>
      </c>
      <c r="K51" t="s">
        <v>40</v>
      </c>
      <c r="L51" t="s">
        <v>40</v>
      </c>
      <c r="M51">
        <v>0</v>
      </c>
      <c r="N51">
        <v>200</v>
      </c>
      <c r="O51">
        <v>2</v>
      </c>
      <c r="P51">
        <v>30</v>
      </c>
      <c r="Q51" t="s">
        <v>77</v>
      </c>
      <c r="R51" t="b">
        <v>0</v>
      </c>
      <c r="S51" t="s">
        <v>59</v>
      </c>
      <c r="T51" s="1" t="s">
        <v>49</v>
      </c>
      <c r="U51" t="s">
        <v>229</v>
      </c>
      <c r="V51" s="2">
        <v>44217.623495358974</v>
      </c>
      <c r="W51" t="s">
        <v>40</v>
      </c>
      <c r="X51">
        <v>0</v>
      </c>
      <c r="Y51" t="s">
        <v>40</v>
      </c>
      <c r="Z51" t="s">
        <v>40</v>
      </c>
      <c r="AA51" t="s">
        <v>40</v>
      </c>
      <c r="AB51">
        <v>0</v>
      </c>
      <c r="AC51" t="s">
        <v>49</v>
      </c>
      <c r="AD51" t="s">
        <v>40</v>
      </c>
      <c r="AE51" t="s">
        <v>40</v>
      </c>
      <c r="AF51" t="s">
        <v>40</v>
      </c>
      <c r="AG51" t="s">
        <v>40</v>
      </c>
      <c r="AH51" t="s">
        <v>40</v>
      </c>
      <c r="AI51" t="s">
        <v>40</v>
      </c>
      <c r="AJ51" t="s">
        <v>40</v>
      </c>
      <c r="AK51" t="s">
        <v>40</v>
      </c>
      <c r="AL51" t="s">
        <v>40</v>
      </c>
      <c r="AM51" t="s">
        <v>40</v>
      </c>
    </row>
    <row r="52" spans="1:39" x14ac:dyDescent="0.2">
      <c r="A52" s="4" t="s">
        <v>246</v>
      </c>
      <c r="B52" s="4" t="s">
        <v>1563</v>
      </c>
      <c r="C52" s="4" t="s">
        <v>1714</v>
      </c>
      <c r="D52" s="4" t="s">
        <v>247</v>
      </c>
      <c r="E52" s="4" t="s">
        <v>225</v>
      </c>
      <c r="F52" t="s">
        <v>248</v>
      </c>
      <c r="G52" t="s">
        <v>249</v>
      </c>
      <c r="H52" t="s">
        <v>250</v>
      </c>
      <c r="I52" t="s">
        <v>40</v>
      </c>
      <c r="J52" t="s">
        <v>40</v>
      </c>
      <c r="K52" t="s">
        <v>40</v>
      </c>
      <c r="L52" t="s">
        <v>40</v>
      </c>
      <c r="M52">
        <v>4.7</v>
      </c>
      <c r="N52">
        <v>200</v>
      </c>
      <c r="O52">
        <v>1</v>
      </c>
      <c r="P52">
        <v>0</v>
      </c>
      <c r="Q52" t="s">
        <v>77</v>
      </c>
      <c r="R52" t="b">
        <v>0</v>
      </c>
      <c r="S52" t="s">
        <v>46</v>
      </c>
      <c r="T52" s="1">
        <v>44955</v>
      </c>
      <c r="U52" t="s">
        <v>229</v>
      </c>
      <c r="V52" s="2">
        <v>44217.63788193278</v>
      </c>
      <c r="W52" t="s">
        <v>40</v>
      </c>
      <c r="X52">
        <v>0</v>
      </c>
      <c r="Y52" t="s">
        <v>40</v>
      </c>
      <c r="Z52" t="s">
        <v>40</v>
      </c>
      <c r="AA52" t="s">
        <v>40</v>
      </c>
      <c r="AB52">
        <v>0</v>
      </c>
      <c r="AC52" t="s">
        <v>49</v>
      </c>
      <c r="AD52" t="s">
        <v>40</v>
      </c>
      <c r="AE52" t="s">
        <v>40</v>
      </c>
      <c r="AF52" t="s">
        <v>40</v>
      </c>
      <c r="AG52" t="s">
        <v>40</v>
      </c>
      <c r="AH52" t="s">
        <v>40</v>
      </c>
      <c r="AI52" t="s">
        <v>40</v>
      </c>
      <c r="AJ52" t="s">
        <v>40</v>
      </c>
      <c r="AK52" t="s">
        <v>40</v>
      </c>
      <c r="AL52" t="s">
        <v>40</v>
      </c>
      <c r="AM52" t="s">
        <v>40</v>
      </c>
    </row>
    <row r="53" spans="1:39" x14ac:dyDescent="0.2">
      <c r="A53" s="4" t="s">
        <v>251</v>
      </c>
      <c r="B53" s="4" t="s">
        <v>252</v>
      </c>
      <c r="C53" s="4" t="s">
        <v>1715</v>
      </c>
      <c r="D53" s="4" t="s">
        <v>253</v>
      </c>
      <c r="E53" s="4" t="s">
        <v>225</v>
      </c>
      <c r="F53" t="s">
        <v>254</v>
      </c>
      <c r="G53" t="s">
        <v>255</v>
      </c>
      <c r="H53" t="s">
        <v>256</v>
      </c>
      <c r="I53" t="s">
        <v>40</v>
      </c>
      <c r="J53" t="s">
        <v>40</v>
      </c>
      <c r="K53" t="s">
        <v>40</v>
      </c>
      <c r="L53" t="s">
        <v>40</v>
      </c>
      <c r="M53">
        <v>24.5</v>
      </c>
      <c r="N53">
        <v>200</v>
      </c>
      <c r="O53">
        <v>2</v>
      </c>
      <c r="P53">
        <v>30</v>
      </c>
      <c r="Q53" t="s">
        <v>77</v>
      </c>
      <c r="R53" t="b">
        <v>0</v>
      </c>
      <c r="S53" t="s">
        <v>46</v>
      </c>
      <c r="T53" s="1">
        <v>45225</v>
      </c>
      <c r="U53" t="s">
        <v>229</v>
      </c>
      <c r="V53" s="2">
        <v>44217.639803229365</v>
      </c>
      <c r="W53" t="s">
        <v>40</v>
      </c>
      <c r="X53">
        <v>0</v>
      </c>
      <c r="Y53" t="s">
        <v>40</v>
      </c>
      <c r="Z53" t="s">
        <v>40</v>
      </c>
      <c r="AA53" t="s">
        <v>40</v>
      </c>
      <c r="AB53">
        <v>0</v>
      </c>
      <c r="AC53" t="s">
        <v>49</v>
      </c>
      <c r="AD53" t="s">
        <v>40</v>
      </c>
      <c r="AE53" t="s">
        <v>40</v>
      </c>
      <c r="AF53" t="s">
        <v>40</v>
      </c>
      <c r="AG53" t="s">
        <v>40</v>
      </c>
      <c r="AH53" t="s">
        <v>40</v>
      </c>
      <c r="AI53" t="s">
        <v>40</v>
      </c>
      <c r="AJ53" t="s">
        <v>40</v>
      </c>
      <c r="AK53" t="s">
        <v>40</v>
      </c>
      <c r="AL53" t="s">
        <v>40</v>
      </c>
      <c r="AM53" t="s">
        <v>40</v>
      </c>
    </row>
    <row r="54" spans="1:39" x14ac:dyDescent="0.2">
      <c r="A54" s="4" t="s">
        <v>257</v>
      </c>
      <c r="B54" s="4" t="s">
        <v>1564</v>
      </c>
      <c r="C54" s="4" t="s">
        <v>1716</v>
      </c>
      <c r="D54" s="4" t="s">
        <v>225</v>
      </c>
      <c r="E54" s="4" t="s">
        <v>225</v>
      </c>
      <c r="F54" t="s">
        <v>258</v>
      </c>
      <c r="G54" t="s">
        <v>259</v>
      </c>
      <c r="H54" t="s">
        <v>260</v>
      </c>
      <c r="I54" t="s">
        <v>40</v>
      </c>
      <c r="J54" t="s">
        <v>40</v>
      </c>
      <c r="K54" t="s">
        <v>40</v>
      </c>
      <c r="L54" t="s">
        <v>40</v>
      </c>
      <c r="M54">
        <v>5.2</v>
      </c>
      <c r="N54">
        <v>200</v>
      </c>
      <c r="O54">
        <v>2</v>
      </c>
      <c r="P54">
        <v>30</v>
      </c>
      <c r="Q54" t="s">
        <v>261</v>
      </c>
      <c r="R54" t="b">
        <v>0</v>
      </c>
      <c r="S54" t="s">
        <v>59</v>
      </c>
      <c r="T54" s="1">
        <v>44488</v>
      </c>
      <c r="U54" t="s">
        <v>229</v>
      </c>
      <c r="V54" s="2">
        <v>44217.654722210485</v>
      </c>
      <c r="W54" t="s">
        <v>40</v>
      </c>
      <c r="X54">
        <v>0</v>
      </c>
      <c r="Y54" t="s">
        <v>40</v>
      </c>
      <c r="Z54" t="s">
        <v>40</v>
      </c>
      <c r="AA54" t="s">
        <v>40</v>
      </c>
      <c r="AB54">
        <v>0</v>
      </c>
      <c r="AC54" t="s">
        <v>49</v>
      </c>
      <c r="AD54" t="s">
        <v>40</v>
      </c>
      <c r="AE54" t="s">
        <v>40</v>
      </c>
      <c r="AF54" t="s">
        <v>40</v>
      </c>
      <c r="AG54" t="s">
        <v>40</v>
      </c>
      <c r="AH54" t="s">
        <v>40</v>
      </c>
      <c r="AI54" t="s">
        <v>40</v>
      </c>
      <c r="AJ54" t="s">
        <v>40</v>
      </c>
      <c r="AK54" t="s">
        <v>40</v>
      </c>
      <c r="AL54" t="s">
        <v>40</v>
      </c>
      <c r="AM54" t="s">
        <v>40</v>
      </c>
    </row>
    <row r="55" spans="1:39" x14ac:dyDescent="0.2">
      <c r="A55" s="4" t="s">
        <v>262</v>
      </c>
      <c r="B55" s="4" t="s">
        <v>263</v>
      </c>
      <c r="C55" s="4" t="s">
        <v>1717</v>
      </c>
      <c r="D55" s="4" t="s">
        <v>247</v>
      </c>
      <c r="E55" s="4" t="s">
        <v>225</v>
      </c>
      <c r="F55" t="s">
        <v>40</v>
      </c>
      <c r="G55" t="s">
        <v>264</v>
      </c>
      <c r="H55" t="s">
        <v>265</v>
      </c>
      <c r="I55" t="s">
        <v>40</v>
      </c>
      <c r="J55" t="s">
        <v>40</v>
      </c>
      <c r="K55" t="s">
        <v>40</v>
      </c>
      <c r="L55" t="s">
        <v>40</v>
      </c>
      <c r="M55">
        <v>44.11</v>
      </c>
      <c r="N55">
        <v>200</v>
      </c>
      <c r="O55">
        <v>1</v>
      </c>
      <c r="P55">
        <v>0</v>
      </c>
      <c r="Q55" t="s">
        <v>77</v>
      </c>
      <c r="R55" t="b">
        <v>0</v>
      </c>
      <c r="S55" t="s">
        <v>46</v>
      </c>
      <c r="T55">
        <v>45220</v>
      </c>
      <c r="U55" t="s">
        <v>229</v>
      </c>
      <c r="V55" s="2">
        <v>44217.668715266045</v>
      </c>
      <c r="W55" t="s">
        <v>40</v>
      </c>
      <c r="X55">
        <v>0</v>
      </c>
      <c r="Y55" t="s">
        <v>40</v>
      </c>
      <c r="Z55" t="s">
        <v>40</v>
      </c>
      <c r="AA55" t="s">
        <v>40</v>
      </c>
      <c r="AB55">
        <v>0</v>
      </c>
      <c r="AC55" t="s">
        <v>49</v>
      </c>
      <c r="AD55" t="s">
        <v>40</v>
      </c>
      <c r="AE55" t="s">
        <v>40</v>
      </c>
      <c r="AF55" t="s">
        <v>40</v>
      </c>
      <c r="AG55" t="s">
        <v>40</v>
      </c>
      <c r="AH55" t="s">
        <v>40</v>
      </c>
      <c r="AI55" t="s">
        <v>40</v>
      </c>
      <c r="AJ55" t="s">
        <v>40</v>
      </c>
      <c r="AK55" t="s">
        <v>40</v>
      </c>
      <c r="AL55" t="s">
        <v>40</v>
      </c>
      <c r="AM55" t="s">
        <v>40</v>
      </c>
    </row>
    <row r="56" spans="1:39" x14ac:dyDescent="0.2">
      <c r="A56" s="4" t="s">
        <v>266</v>
      </c>
      <c r="B56" s="4" t="s">
        <v>1565</v>
      </c>
      <c r="C56" s="4" t="s">
        <v>267</v>
      </c>
      <c r="D56" s="4" t="s">
        <v>247</v>
      </c>
      <c r="E56" s="4" t="s">
        <v>225</v>
      </c>
      <c r="F56" t="s">
        <v>268</v>
      </c>
      <c r="G56" t="s">
        <v>269</v>
      </c>
      <c r="H56" t="s">
        <v>270</v>
      </c>
      <c r="I56" t="s">
        <v>40</v>
      </c>
      <c r="J56" t="s">
        <v>40</v>
      </c>
      <c r="K56" t="s">
        <v>40</v>
      </c>
      <c r="L56" t="s">
        <v>40</v>
      </c>
      <c r="M56">
        <v>7.3500000000000005</v>
      </c>
      <c r="N56">
        <v>200</v>
      </c>
      <c r="O56">
        <v>1</v>
      </c>
      <c r="P56">
        <v>0</v>
      </c>
      <c r="Q56" t="s">
        <v>77</v>
      </c>
      <c r="R56" t="b">
        <v>0</v>
      </c>
      <c r="S56" t="s">
        <v>59</v>
      </c>
      <c r="T56" s="1">
        <v>44955</v>
      </c>
      <c r="U56" t="s">
        <v>229</v>
      </c>
      <c r="V56" s="2">
        <v>44217.677442129701</v>
      </c>
      <c r="W56" t="s">
        <v>40</v>
      </c>
      <c r="X56">
        <v>0</v>
      </c>
      <c r="Y56" t="s">
        <v>40</v>
      </c>
      <c r="Z56" t="s">
        <v>40</v>
      </c>
      <c r="AA56" t="s">
        <v>40</v>
      </c>
      <c r="AB56">
        <v>0</v>
      </c>
      <c r="AC56" t="s">
        <v>49</v>
      </c>
      <c r="AD56" t="s">
        <v>40</v>
      </c>
      <c r="AE56" t="s">
        <v>40</v>
      </c>
      <c r="AF56" t="s">
        <v>40</v>
      </c>
      <c r="AG56" t="s">
        <v>40</v>
      </c>
      <c r="AH56" t="s">
        <v>40</v>
      </c>
      <c r="AI56" t="s">
        <v>40</v>
      </c>
      <c r="AJ56" t="s">
        <v>40</v>
      </c>
      <c r="AK56" t="s">
        <v>40</v>
      </c>
      <c r="AL56" t="s">
        <v>40</v>
      </c>
      <c r="AM56" t="s">
        <v>40</v>
      </c>
    </row>
    <row r="57" spans="1:39" x14ac:dyDescent="0.2">
      <c r="A57" s="4" t="s">
        <v>271</v>
      </c>
      <c r="B57" s="4" t="s">
        <v>1566</v>
      </c>
      <c r="C57" s="4" t="s">
        <v>272</v>
      </c>
      <c r="D57" s="4" t="s">
        <v>273</v>
      </c>
      <c r="E57" s="4" t="s">
        <v>225</v>
      </c>
      <c r="F57" t="s">
        <v>40</v>
      </c>
      <c r="G57" t="s">
        <v>274</v>
      </c>
      <c r="H57" t="s">
        <v>275</v>
      </c>
      <c r="I57" t="s">
        <v>40</v>
      </c>
      <c r="J57" t="s">
        <v>40</v>
      </c>
      <c r="K57" t="s">
        <v>40</v>
      </c>
      <c r="L57" t="s">
        <v>40</v>
      </c>
      <c r="M57">
        <v>11.950000000000001</v>
      </c>
      <c r="N57">
        <v>200</v>
      </c>
      <c r="O57">
        <v>1</v>
      </c>
      <c r="P57">
        <v>0</v>
      </c>
      <c r="Q57" t="s">
        <v>77</v>
      </c>
      <c r="R57" t="b">
        <v>0</v>
      </c>
      <c r="S57" t="s">
        <v>46</v>
      </c>
      <c r="T57" s="1">
        <v>44957</v>
      </c>
      <c r="U57" t="s">
        <v>229</v>
      </c>
      <c r="V57" s="2">
        <v>44217.681921284646</v>
      </c>
      <c r="W57" t="s">
        <v>40</v>
      </c>
      <c r="X57">
        <v>0</v>
      </c>
      <c r="Y57" t="s">
        <v>40</v>
      </c>
      <c r="Z57" t="s">
        <v>40</v>
      </c>
      <c r="AA57" t="s">
        <v>40</v>
      </c>
      <c r="AB57">
        <v>0</v>
      </c>
      <c r="AC57" t="s">
        <v>49</v>
      </c>
      <c r="AD57" t="s">
        <v>40</v>
      </c>
      <c r="AE57" t="s">
        <v>40</v>
      </c>
      <c r="AF57" t="s">
        <v>40</v>
      </c>
      <c r="AG57" t="s">
        <v>40</v>
      </c>
      <c r="AH57" t="s">
        <v>40</v>
      </c>
      <c r="AI57" t="s">
        <v>40</v>
      </c>
      <c r="AJ57" t="s">
        <v>40</v>
      </c>
      <c r="AK57" t="s">
        <v>40</v>
      </c>
      <c r="AL57" t="s">
        <v>40</v>
      </c>
      <c r="AM57" t="s">
        <v>40</v>
      </c>
    </row>
    <row r="58" spans="1:39" x14ac:dyDescent="0.2">
      <c r="A58" s="4" t="s">
        <v>276</v>
      </c>
      <c r="B58" s="4" t="s">
        <v>1567</v>
      </c>
      <c r="C58" s="4" t="s">
        <v>1718</v>
      </c>
      <c r="D58" s="4" t="s">
        <v>225</v>
      </c>
      <c r="E58" s="4" t="s">
        <v>225</v>
      </c>
      <c r="F58" t="s">
        <v>277</v>
      </c>
      <c r="G58" t="s">
        <v>278</v>
      </c>
      <c r="H58" t="s">
        <v>279</v>
      </c>
      <c r="I58" t="s">
        <v>40</v>
      </c>
      <c r="J58" t="s">
        <v>40</v>
      </c>
      <c r="K58" t="s">
        <v>40</v>
      </c>
      <c r="L58" t="s">
        <v>40</v>
      </c>
      <c r="M58">
        <v>0</v>
      </c>
      <c r="N58">
        <v>200</v>
      </c>
      <c r="O58">
        <v>2</v>
      </c>
      <c r="P58">
        <v>30</v>
      </c>
      <c r="Q58" t="s">
        <v>77</v>
      </c>
      <c r="R58" t="b">
        <v>0</v>
      </c>
      <c r="S58" t="s">
        <v>59</v>
      </c>
      <c r="T58" s="1" t="s">
        <v>49</v>
      </c>
      <c r="U58" t="s">
        <v>229</v>
      </c>
      <c r="V58" s="2">
        <v>44217.684016192332</v>
      </c>
      <c r="W58" t="s">
        <v>40</v>
      </c>
      <c r="X58">
        <v>0</v>
      </c>
      <c r="Y58" t="s">
        <v>40</v>
      </c>
      <c r="Z58" t="s">
        <v>40</v>
      </c>
      <c r="AA58" t="s">
        <v>40</v>
      </c>
      <c r="AB58">
        <v>0</v>
      </c>
      <c r="AC58" t="s">
        <v>49</v>
      </c>
      <c r="AD58" t="s">
        <v>40</v>
      </c>
      <c r="AE58" t="s">
        <v>40</v>
      </c>
      <c r="AF58" t="s">
        <v>40</v>
      </c>
      <c r="AG58" t="s">
        <v>40</v>
      </c>
      <c r="AH58" t="s">
        <v>40</v>
      </c>
      <c r="AI58" t="s">
        <v>40</v>
      </c>
      <c r="AJ58" t="s">
        <v>40</v>
      </c>
      <c r="AK58" t="s">
        <v>40</v>
      </c>
      <c r="AL58" t="s">
        <v>40</v>
      </c>
      <c r="AM58" t="s">
        <v>40</v>
      </c>
    </row>
    <row r="59" spans="1:39" x14ac:dyDescent="0.2">
      <c r="A59" s="4" t="s">
        <v>280</v>
      </c>
      <c r="B59" s="4" t="s">
        <v>281</v>
      </c>
      <c r="C59" s="4" t="s">
        <v>1719</v>
      </c>
      <c r="D59" s="4" t="s">
        <v>225</v>
      </c>
      <c r="E59" s="4" t="s">
        <v>225</v>
      </c>
      <c r="F59" t="s">
        <v>282</v>
      </c>
      <c r="G59" t="s">
        <v>283</v>
      </c>
      <c r="H59" t="s">
        <v>284</v>
      </c>
      <c r="I59" t="s">
        <v>40</v>
      </c>
      <c r="J59" t="s">
        <v>40</v>
      </c>
      <c r="K59" t="s">
        <v>40</v>
      </c>
      <c r="L59" t="s">
        <v>40</v>
      </c>
      <c r="M59">
        <v>2.4500000000000002</v>
      </c>
      <c r="N59">
        <v>200</v>
      </c>
      <c r="O59">
        <v>1</v>
      </c>
      <c r="P59">
        <v>0</v>
      </c>
      <c r="Q59" t="s">
        <v>77</v>
      </c>
      <c r="R59" t="b">
        <v>0</v>
      </c>
      <c r="S59" t="s">
        <v>59</v>
      </c>
      <c r="T59" s="1">
        <v>45349</v>
      </c>
      <c r="U59" t="s">
        <v>229</v>
      </c>
      <c r="V59" s="2">
        <v>44218.366331006866</v>
      </c>
      <c r="W59" t="s">
        <v>40</v>
      </c>
      <c r="X59">
        <v>0</v>
      </c>
      <c r="Y59" t="s">
        <v>40</v>
      </c>
      <c r="Z59" t="s">
        <v>40</v>
      </c>
      <c r="AA59" t="s">
        <v>40</v>
      </c>
      <c r="AB59">
        <v>0</v>
      </c>
      <c r="AC59" t="s">
        <v>49</v>
      </c>
      <c r="AD59" t="s">
        <v>40</v>
      </c>
      <c r="AE59" t="s">
        <v>40</v>
      </c>
      <c r="AF59" t="s">
        <v>40</v>
      </c>
      <c r="AG59" t="s">
        <v>40</v>
      </c>
      <c r="AH59" t="s">
        <v>40</v>
      </c>
      <c r="AI59" t="s">
        <v>40</v>
      </c>
      <c r="AJ59" t="s">
        <v>40</v>
      </c>
      <c r="AK59" t="s">
        <v>40</v>
      </c>
      <c r="AL59" t="s">
        <v>40</v>
      </c>
      <c r="AM59" t="s">
        <v>40</v>
      </c>
    </row>
    <row r="60" spans="1:39" x14ac:dyDescent="0.2">
      <c r="A60" s="4" t="s">
        <v>287</v>
      </c>
      <c r="B60" s="4" t="s">
        <v>285</v>
      </c>
      <c r="C60" s="4" t="s">
        <v>286</v>
      </c>
      <c r="D60" s="4" t="s">
        <v>225</v>
      </c>
      <c r="E60" s="4" t="s">
        <v>225</v>
      </c>
      <c r="F60" t="s">
        <v>40</v>
      </c>
      <c r="G60" t="s">
        <v>287</v>
      </c>
      <c r="H60" t="s">
        <v>288</v>
      </c>
      <c r="I60" t="s">
        <v>40</v>
      </c>
      <c r="J60" t="s">
        <v>40</v>
      </c>
      <c r="K60" t="s">
        <v>40</v>
      </c>
      <c r="L60" t="s">
        <v>40</v>
      </c>
      <c r="M60">
        <v>0</v>
      </c>
      <c r="N60">
        <v>200</v>
      </c>
      <c r="O60">
        <v>2</v>
      </c>
      <c r="P60">
        <v>30</v>
      </c>
      <c r="Q60" t="s">
        <v>77</v>
      </c>
      <c r="R60" t="b">
        <v>0</v>
      </c>
      <c r="S60" t="s">
        <v>59</v>
      </c>
      <c r="T60" s="1">
        <v>44315</v>
      </c>
      <c r="U60" t="s">
        <v>229</v>
      </c>
      <c r="V60" s="2">
        <v>44222.640706018545</v>
      </c>
      <c r="W60" t="s">
        <v>39</v>
      </c>
      <c r="X60">
        <v>0</v>
      </c>
      <c r="Y60" t="s">
        <v>40</v>
      </c>
      <c r="Z60" t="s">
        <v>40</v>
      </c>
      <c r="AA60" t="s">
        <v>40</v>
      </c>
      <c r="AB60">
        <v>0</v>
      </c>
      <c r="AC60" t="s">
        <v>49</v>
      </c>
      <c r="AD60" t="s">
        <v>40</v>
      </c>
      <c r="AE60" t="s">
        <v>40</v>
      </c>
      <c r="AF60" t="s">
        <v>40</v>
      </c>
      <c r="AG60" t="s">
        <v>40</v>
      </c>
      <c r="AH60" t="s">
        <v>40</v>
      </c>
      <c r="AI60" t="s">
        <v>40</v>
      </c>
      <c r="AJ60" t="s">
        <v>40</v>
      </c>
      <c r="AK60" t="s">
        <v>40</v>
      </c>
      <c r="AL60" t="s">
        <v>40</v>
      </c>
      <c r="AM60" t="s">
        <v>40</v>
      </c>
    </row>
    <row r="61" spans="1:39" x14ac:dyDescent="0.2">
      <c r="A61" s="4" t="s">
        <v>289</v>
      </c>
      <c r="B61" s="4" t="s">
        <v>290</v>
      </c>
      <c r="C61" s="4" t="s">
        <v>40</v>
      </c>
      <c r="D61" s="4" t="s">
        <v>273</v>
      </c>
      <c r="E61" s="4" t="s">
        <v>225</v>
      </c>
      <c r="F61" t="s">
        <v>40</v>
      </c>
      <c r="G61" t="s">
        <v>289</v>
      </c>
      <c r="H61" t="s">
        <v>40</v>
      </c>
      <c r="I61" t="s">
        <v>40</v>
      </c>
      <c r="J61" t="s">
        <v>40</v>
      </c>
      <c r="K61" t="s">
        <v>40</v>
      </c>
      <c r="L61" t="s">
        <v>40</v>
      </c>
      <c r="M61">
        <v>27.5</v>
      </c>
      <c r="N61">
        <v>100</v>
      </c>
      <c r="O61">
        <v>2</v>
      </c>
      <c r="P61">
        <v>30</v>
      </c>
      <c r="Q61" t="s">
        <v>77</v>
      </c>
      <c r="R61" t="b">
        <v>0</v>
      </c>
      <c r="S61" t="s">
        <v>59</v>
      </c>
      <c r="T61" s="1">
        <v>44735</v>
      </c>
      <c r="U61" t="s">
        <v>229</v>
      </c>
      <c r="V61" s="2">
        <v>44223.573807870504</v>
      </c>
      <c r="W61" t="s">
        <v>40</v>
      </c>
      <c r="X61">
        <v>0</v>
      </c>
      <c r="Y61" t="s">
        <v>40</v>
      </c>
      <c r="Z61" t="s">
        <v>40</v>
      </c>
      <c r="AA61" t="s">
        <v>40</v>
      </c>
      <c r="AB61">
        <v>0</v>
      </c>
      <c r="AC61" t="s">
        <v>49</v>
      </c>
      <c r="AD61" t="s">
        <v>40</v>
      </c>
      <c r="AE61" t="s">
        <v>40</v>
      </c>
      <c r="AF61" t="s">
        <v>40</v>
      </c>
      <c r="AG61" t="s">
        <v>40</v>
      </c>
      <c r="AH61" t="s">
        <v>40</v>
      </c>
      <c r="AI61" t="s">
        <v>40</v>
      </c>
      <c r="AJ61" t="s">
        <v>40</v>
      </c>
      <c r="AK61" t="s">
        <v>40</v>
      </c>
      <c r="AL61" t="s">
        <v>40</v>
      </c>
      <c r="AM61" t="s">
        <v>40</v>
      </c>
    </row>
    <row r="62" spans="1:39" x14ac:dyDescent="0.2">
      <c r="A62" s="4" t="s">
        <v>291</v>
      </c>
      <c r="B62" s="4" t="s">
        <v>292</v>
      </c>
      <c r="C62" s="4" t="s">
        <v>1720</v>
      </c>
      <c r="D62" s="4" t="s">
        <v>293</v>
      </c>
      <c r="E62" s="4" t="s">
        <v>225</v>
      </c>
      <c r="F62" t="s">
        <v>294</v>
      </c>
      <c r="G62" t="s">
        <v>295</v>
      </c>
      <c r="H62" t="s">
        <v>296</v>
      </c>
      <c r="I62" t="s">
        <v>40</v>
      </c>
      <c r="J62" t="s">
        <v>40</v>
      </c>
      <c r="K62" t="s">
        <v>40</v>
      </c>
      <c r="L62" t="s">
        <v>40</v>
      </c>
      <c r="M62">
        <v>0</v>
      </c>
      <c r="N62">
        <v>500</v>
      </c>
      <c r="O62">
        <v>2</v>
      </c>
      <c r="P62">
        <v>30</v>
      </c>
      <c r="Q62" t="s">
        <v>77</v>
      </c>
      <c r="R62" t="b">
        <v>0</v>
      </c>
      <c r="S62" t="s">
        <v>46</v>
      </c>
      <c r="T62">
        <v>44244</v>
      </c>
      <c r="U62" t="s">
        <v>229</v>
      </c>
      <c r="V62" s="2">
        <v>44228.370370358694</v>
      </c>
      <c r="W62" t="s">
        <v>40</v>
      </c>
      <c r="X62">
        <v>0</v>
      </c>
      <c r="Y62" t="s">
        <v>40</v>
      </c>
      <c r="Z62" t="s">
        <v>40</v>
      </c>
      <c r="AA62" t="s">
        <v>40</v>
      </c>
      <c r="AB62">
        <v>0</v>
      </c>
      <c r="AC62" t="s">
        <v>49</v>
      </c>
      <c r="AD62" t="s">
        <v>40</v>
      </c>
      <c r="AE62" t="s">
        <v>40</v>
      </c>
      <c r="AF62" t="s">
        <v>40</v>
      </c>
      <c r="AG62" t="s">
        <v>40</v>
      </c>
      <c r="AH62" t="s">
        <v>40</v>
      </c>
      <c r="AI62" t="s">
        <v>40</v>
      </c>
      <c r="AJ62" t="s">
        <v>40</v>
      </c>
      <c r="AK62" t="s">
        <v>40</v>
      </c>
      <c r="AL62" t="s">
        <v>40</v>
      </c>
      <c r="AM62" t="s">
        <v>40</v>
      </c>
    </row>
    <row r="63" spans="1:39" x14ac:dyDescent="0.2">
      <c r="A63" s="4" t="s">
        <v>297</v>
      </c>
      <c r="B63" s="4" t="s">
        <v>298</v>
      </c>
      <c r="C63" s="4" t="s">
        <v>1721</v>
      </c>
      <c r="D63" s="4" t="s">
        <v>225</v>
      </c>
      <c r="E63" s="4" t="s">
        <v>225</v>
      </c>
      <c r="F63" t="s">
        <v>40</v>
      </c>
      <c r="G63" t="s">
        <v>299</v>
      </c>
      <c r="H63" t="s">
        <v>300</v>
      </c>
      <c r="I63" t="s">
        <v>40</v>
      </c>
      <c r="J63" t="s">
        <v>40</v>
      </c>
      <c r="K63" t="s">
        <v>40</v>
      </c>
      <c r="L63" t="s">
        <v>40</v>
      </c>
      <c r="M63">
        <v>0</v>
      </c>
      <c r="N63">
        <v>100</v>
      </c>
      <c r="O63">
        <v>2</v>
      </c>
      <c r="P63">
        <v>30</v>
      </c>
      <c r="Q63" t="s">
        <v>77</v>
      </c>
      <c r="R63" t="b">
        <v>0</v>
      </c>
      <c r="S63" t="s">
        <v>59</v>
      </c>
      <c r="T63" s="1">
        <v>44525</v>
      </c>
      <c r="U63" t="s">
        <v>229</v>
      </c>
      <c r="V63" s="2">
        <v>44232.472372673452</v>
      </c>
      <c r="W63" t="s">
        <v>40</v>
      </c>
      <c r="X63">
        <v>0</v>
      </c>
      <c r="Y63" t="s">
        <v>40</v>
      </c>
      <c r="Z63" t="s">
        <v>40</v>
      </c>
      <c r="AA63" t="s">
        <v>40</v>
      </c>
      <c r="AB63">
        <v>0</v>
      </c>
      <c r="AC63" s="1" t="s">
        <v>49</v>
      </c>
      <c r="AD63" t="s">
        <v>40</v>
      </c>
      <c r="AE63" t="s">
        <v>40</v>
      </c>
      <c r="AF63" t="s">
        <v>40</v>
      </c>
      <c r="AG63" t="s">
        <v>40</v>
      </c>
      <c r="AH63" t="s">
        <v>40</v>
      </c>
      <c r="AI63" t="s">
        <v>40</v>
      </c>
      <c r="AJ63" t="s">
        <v>40</v>
      </c>
      <c r="AK63" t="s">
        <v>40</v>
      </c>
      <c r="AL63" t="s">
        <v>40</v>
      </c>
      <c r="AM63" t="s">
        <v>40</v>
      </c>
    </row>
    <row r="64" spans="1:39" x14ac:dyDescent="0.2">
      <c r="A64" s="4" t="s">
        <v>301</v>
      </c>
      <c r="B64" s="4" t="s">
        <v>1568</v>
      </c>
      <c r="C64" s="4" t="s">
        <v>1722</v>
      </c>
      <c r="D64" s="4" t="s">
        <v>247</v>
      </c>
      <c r="E64" s="4" t="s">
        <v>225</v>
      </c>
      <c r="F64" t="s">
        <v>302</v>
      </c>
      <c r="G64" t="s">
        <v>303</v>
      </c>
      <c r="H64" t="s">
        <v>304</v>
      </c>
      <c r="I64" t="s">
        <v>225</v>
      </c>
      <c r="J64" t="s">
        <v>40</v>
      </c>
      <c r="K64" t="s">
        <v>40</v>
      </c>
      <c r="L64" t="s">
        <v>40</v>
      </c>
      <c r="M64">
        <v>13.100000000000001</v>
      </c>
      <c r="N64">
        <v>100</v>
      </c>
      <c r="O64">
        <v>1</v>
      </c>
      <c r="P64">
        <v>0</v>
      </c>
      <c r="Q64" t="s">
        <v>77</v>
      </c>
      <c r="R64" t="b">
        <v>0</v>
      </c>
      <c r="S64" t="s">
        <v>46</v>
      </c>
      <c r="T64">
        <v>44955</v>
      </c>
      <c r="U64" t="s">
        <v>229</v>
      </c>
      <c r="V64" s="2">
        <v>44232.516701389104</v>
      </c>
      <c r="W64" t="s">
        <v>40</v>
      </c>
      <c r="X64">
        <v>0</v>
      </c>
      <c r="Y64" t="s">
        <v>40</v>
      </c>
      <c r="Z64" t="s">
        <v>40</v>
      </c>
      <c r="AA64" t="s">
        <v>40</v>
      </c>
      <c r="AB64">
        <v>0</v>
      </c>
      <c r="AC64" s="1" t="s">
        <v>49</v>
      </c>
      <c r="AD64" t="s">
        <v>40</v>
      </c>
      <c r="AE64" t="s">
        <v>40</v>
      </c>
      <c r="AF64" t="s">
        <v>40</v>
      </c>
      <c r="AG64" t="s">
        <v>40</v>
      </c>
      <c r="AH64" t="s">
        <v>40</v>
      </c>
      <c r="AI64" t="s">
        <v>40</v>
      </c>
      <c r="AJ64" t="s">
        <v>40</v>
      </c>
      <c r="AK64" t="s">
        <v>40</v>
      </c>
      <c r="AL64" t="s">
        <v>40</v>
      </c>
      <c r="AM64" t="s">
        <v>40</v>
      </c>
    </row>
    <row r="65" spans="1:39" x14ac:dyDescent="0.2">
      <c r="A65" s="4" t="s">
        <v>305</v>
      </c>
      <c r="B65" s="4" t="s">
        <v>1569</v>
      </c>
      <c r="C65" s="4" t="s">
        <v>1723</v>
      </c>
      <c r="D65" s="4" t="s">
        <v>225</v>
      </c>
      <c r="E65" s="4" t="s">
        <v>225</v>
      </c>
      <c r="F65" t="s">
        <v>306</v>
      </c>
      <c r="G65" t="s">
        <v>307</v>
      </c>
      <c r="H65" t="s">
        <v>308</v>
      </c>
      <c r="I65" t="s">
        <v>40</v>
      </c>
      <c r="J65" t="s">
        <v>40</v>
      </c>
      <c r="K65" t="s">
        <v>40</v>
      </c>
      <c r="L65" t="s">
        <v>40</v>
      </c>
      <c r="M65">
        <v>190.8</v>
      </c>
      <c r="N65">
        <v>200</v>
      </c>
      <c r="O65">
        <v>1</v>
      </c>
      <c r="P65">
        <v>0</v>
      </c>
      <c r="Q65" t="s">
        <v>77</v>
      </c>
      <c r="R65" t="b">
        <v>0</v>
      </c>
      <c r="S65" t="s">
        <v>46</v>
      </c>
      <c r="T65">
        <v>45356</v>
      </c>
      <c r="U65" t="s">
        <v>229</v>
      </c>
      <c r="V65" s="2">
        <v>44237.406354154926</v>
      </c>
      <c r="W65" t="s">
        <v>40</v>
      </c>
      <c r="X65">
        <v>0</v>
      </c>
      <c r="Y65" t="s">
        <v>40</v>
      </c>
      <c r="Z65" t="s">
        <v>40</v>
      </c>
      <c r="AA65" t="s">
        <v>40</v>
      </c>
      <c r="AB65">
        <v>2</v>
      </c>
      <c r="AC65" t="s">
        <v>49</v>
      </c>
      <c r="AD65" t="s">
        <v>40</v>
      </c>
      <c r="AE65" t="s">
        <v>40</v>
      </c>
      <c r="AF65" t="s">
        <v>40</v>
      </c>
      <c r="AG65" t="s">
        <v>40</v>
      </c>
      <c r="AH65" t="s">
        <v>40</v>
      </c>
      <c r="AI65" t="s">
        <v>40</v>
      </c>
      <c r="AJ65" t="s">
        <v>40</v>
      </c>
      <c r="AK65" t="s">
        <v>40</v>
      </c>
      <c r="AL65" t="s">
        <v>40</v>
      </c>
      <c r="AM65" t="s">
        <v>40</v>
      </c>
    </row>
    <row r="66" spans="1:39" x14ac:dyDescent="0.2">
      <c r="A66" s="4" t="s">
        <v>309</v>
      </c>
      <c r="B66" s="4" t="s">
        <v>310</v>
      </c>
      <c r="C66" s="4" t="s">
        <v>1724</v>
      </c>
      <c r="D66" s="4" t="s">
        <v>225</v>
      </c>
      <c r="E66" s="4" t="s">
        <v>225</v>
      </c>
      <c r="F66" t="s">
        <v>311</v>
      </c>
      <c r="G66" t="s">
        <v>312</v>
      </c>
      <c r="H66" t="s">
        <v>313</v>
      </c>
      <c r="I66" t="s">
        <v>40</v>
      </c>
      <c r="J66" t="s">
        <v>40</v>
      </c>
      <c r="K66" t="s">
        <v>40</v>
      </c>
      <c r="L66" t="s">
        <v>40</v>
      </c>
      <c r="M66">
        <v>4.7</v>
      </c>
      <c r="N66">
        <v>200</v>
      </c>
      <c r="O66">
        <v>2</v>
      </c>
      <c r="P66">
        <v>30</v>
      </c>
      <c r="Q66" t="s">
        <v>77</v>
      </c>
      <c r="R66" t="b">
        <v>0</v>
      </c>
      <c r="S66" t="s">
        <v>40</v>
      </c>
      <c r="T66" s="1" t="s">
        <v>49</v>
      </c>
      <c r="U66" t="s">
        <v>229</v>
      </c>
      <c r="V66" s="2">
        <v>44238.437326388899</v>
      </c>
      <c r="W66" t="s">
        <v>40</v>
      </c>
      <c r="X66">
        <v>0</v>
      </c>
      <c r="Y66" t="s">
        <v>40</v>
      </c>
      <c r="Z66" t="s">
        <v>40</v>
      </c>
      <c r="AA66" t="s">
        <v>40</v>
      </c>
      <c r="AB66">
        <v>1</v>
      </c>
      <c r="AC66" t="s">
        <v>49</v>
      </c>
      <c r="AD66" t="s">
        <v>40</v>
      </c>
      <c r="AE66" t="s">
        <v>40</v>
      </c>
      <c r="AF66" t="s">
        <v>40</v>
      </c>
      <c r="AG66" t="s">
        <v>40</v>
      </c>
      <c r="AH66" t="s">
        <v>40</v>
      </c>
      <c r="AI66" t="s">
        <v>40</v>
      </c>
      <c r="AJ66" t="s">
        <v>40</v>
      </c>
      <c r="AK66" t="s">
        <v>40</v>
      </c>
      <c r="AL66" t="s">
        <v>40</v>
      </c>
      <c r="AM66" t="s">
        <v>40</v>
      </c>
    </row>
    <row r="67" spans="1:39" x14ac:dyDescent="0.2">
      <c r="A67" s="4" t="s">
        <v>314</v>
      </c>
      <c r="B67" s="4" t="s">
        <v>1570</v>
      </c>
      <c r="C67" s="4" t="s">
        <v>1725</v>
      </c>
      <c r="D67" s="4" t="s">
        <v>225</v>
      </c>
      <c r="E67" s="4" t="s">
        <v>225</v>
      </c>
      <c r="F67" t="s">
        <v>315</v>
      </c>
      <c r="G67" t="s">
        <v>316</v>
      </c>
      <c r="H67" t="s">
        <v>317</v>
      </c>
      <c r="I67" t="s">
        <v>40</v>
      </c>
      <c r="J67" t="s">
        <v>40</v>
      </c>
      <c r="K67" t="s">
        <v>40</v>
      </c>
      <c r="L67" t="s">
        <v>40</v>
      </c>
      <c r="M67">
        <v>12.25</v>
      </c>
      <c r="N67">
        <v>200</v>
      </c>
      <c r="O67">
        <v>2</v>
      </c>
      <c r="P67">
        <v>30</v>
      </c>
      <c r="Q67" t="s">
        <v>77</v>
      </c>
      <c r="R67" t="b">
        <v>0</v>
      </c>
      <c r="S67" t="s">
        <v>59</v>
      </c>
      <c r="T67" s="1">
        <v>45225</v>
      </c>
      <c r="U67" t="s">
        <v>229</v>
      </c>
      <c r="V67" s="2">
        <v>44278.395335648209</v>
      </c>
      <c r="W67" t="s">
        <v>40</v>
      </c>
      <c r="X67">
        <v>0</v>
      </c>
      <c r="Y67" t="s">
        <v>40</v>
      </c>
      <c r="Z67" t="s">
        <v>40</v>
      </c>
      <c r="AA67" t="s">
        <v>40</v>
      </c>
      <c r="AB67">
        <v>2</v>
      </c>
      <c r="AC67" s="1">
        <v>43125</v>
      </c>
      <c r="AD67" t="s">
        <v>40</v>
      </c>
      <c r="AE67" t="s">
        <v>40</v>
      </c>
      <c r="AF67" t="s">
        <v>40</v>
      </c>
      <c r="AG67" t="s">
        <v>40</v>
      </c>
      <c r="AH67" t="s">
        <v>40</v>
      </c>
      <c r="AI67" t="s">
        <v>40</v>
      </c>
      <c r="AJ67" t="s">
        <v>40</v>
      </c>
      <c r="AK67" t="s">
        <v>40</v>
      </c>
      <c r="AL67" t="s">
        <v>40</v>
      </c>
      <c r="AM67" t="s">
        <v>40</v>
      </c>
    </row>
    <row r="68" spans="1:39" x14ac:dyDescent="0.2">
      <c r="A68" s="4" t="s">
        <v>318</v>
      </c>
      <c r="B68" s="4" t="s">
        <v>1571</v>
      </c>
      <c r="C68" s="4" t="s">
        <v>1726</v>
      </c>
      <c r="D68" s="4" t="s">
        <v>40</v>
      </c>
      <c r="E68" s="4" t="s">
        <v>40</v>
      </c>
      <c r="F68" t="s">
        <v>40</v>
      </c>
      <c r="G68" t="s">
        <v>319</v>
      </c>
      <c r="H68" t="s">
        <v>320</v>
      </c>
      <c r="I68" t="s">
        <v>40</v>
      </c>
      <c r="J68" t="s">
        <v>40</v>
      </c>
      <c r="K68" t="s">
        <v>40</v>
      </c>
      <c r="L68" t="s">
        <v>40</v>
      </c>
      <c r="M68">
        <v>0</v>
      </c>
      <c r="N68">
        <v>200</v>
      </c>
      <c r="O68">
        <v>2</v>
      </c>
      <c r="P68">
        <v>30</v>
      </c>
      <c r="Q68" t="s">
        <v>77</v>
      </c>
      <c r="R68" t="b">
        <v>0</v>
      </c>
      <c r="S68" t="s">
        <v>59</v>
      </c>
      <c r="T68" s="1" t="s">
        <v>49</v>
      </c>
      <c r="U68" t="s">
        <v>229</v>
      </c>
      <c r="V68" s="2">
        <v>44293.366087951232</v>
      </c>
      <c r="W68" t="s">
        <v>40</v>
      </c>
      <c r="X68">
        <v>0</v>
      </c>
      <c r="Y68" t="s">
        <v>40</v>
      </c>
      <c r="Z68" t="s">
        <v>40</v>
      </c>
      <c r="AA68" t="s">
        <v>40</v>
      </c>
      <c r="AB68">
        <v>2</v>
      </c>
      <c r="AC68">
        <v>43521</v>
      </c>
      <c r="AD68" t="s">
        <v>40</v>
      </c>
      <c r="AE68" t="s">
        <v>40</v>
      </c>
      <c r="AF68" t="s">
        <v>40</v>
      </c>
      <c r="AG68" t="s">
        <v>40</v>
      </c>
      <c r="AH68" t="s">
        <v>40</v>
      </c>
      <c r="AI68" t="s">
        <v>40</v>
      </c>
      <c r="AJ68" t="s">
        <v>40</v>
      </c>
      <c r="AK68" t="s">
        <v>40</v>
      </c>
      <c r="AL68" t="s">
        <v>40</v>
      </c>
      <c r="AM68" t="s">
        <v>40</v>
      </c>
    </row>
    <row r="69" spans="1:39" x14ac:dyDescent="0.2">
      <c r="A69" s="4" t="s">
        <v>321</v>
      </c>
      <c r="B69" s="4" t="s">
        <v>1572</v>
      </c>
      <c r="C69" s="4" t="s">
        <v>1727</v>
      </c>
      <c r="D69" s="4" t="s">
        <v>40</v>
      </c>
      <c r="E69" s="4" t="s">
        <v>40</v>
      </c>
      <c r="F69" t="s">
        <v>322</v>
      </c>
      <c r="G69" t="s">
        <v>323</v>
      </c>
      <c r="H69" t="s">
        <v>324</v>
      </c>
      <c r="I69" t="s">
        <v>40</v>
      </c>
      <c r="J69" t="s">
        <v>40</v>
      </c>
      <c r="K69" t="s">
        <v>40</v>
      </c>
      <c r="L69" t="s">
        <v>40</v>
      </c>
      <c r="M69">
        <v>0</v>
      </c>
      <c r="N69">
        <v>200</v>
      </c>
      <c r="O69">
        <v>2</v>
      </c>
      <c r="P69">
        <v>30</v>
      </c>
      <c r="Q69" t="s">
        <v>77</v>
      </c>
      <c r="R69" t="b">
        <v>0</v>
      </c>
      <c r="S69" t="s">
        <v>59</v>
      </c>
      <c r="T69" s="1" t="s">
        <v>49</v>
      </c>
      <c r="U69" t="s">
        <v>229</v>
      </c>
      <c r="V69" s="2">
        <v>44293.371527777985</v>
      </c>
      <c r="W69" t="s">
        <v>40</v>
      </c>
      <c r="X69">
        <v>0</v>
      </c>
      <c r="Y69" t="s">
        <v>40</v>
      </c>
      <c r="Z69" t="s">
        <v>40</v>
      </c>
      <c r="AA69" t="s">
        <v>40</v>
      </c>
      <c r="AB69">
        <v>2</v>
      </c>
      <c r="AC69" t="s">
        <v>49</v>
      </c>
      <c r="AD69" t="s">
        <v>40</v>
      </c>
      <c r="AE69" t="s">
        <v>40</v>
      </c>
      <c r="AF69" t="s">
        <v>40</v>
      </c>
      <c r="AG69" t="s">
        <v>40</v>
      </c>
      <c r="AH69" t="s">
        <v>40</v>
      </c>
      <c r="AI69" t="s">
        <v>40</v>
      </c>
      <c r="AJ69" t="s">
        <v>40</v>
      </c>
      <c r="AK69" t="s">
        <v>40</v>
      </c>
      <c r="AL69" t="s">
        <v>40</v>
      </c>
      <c r="AM69" t="s">
        <v>40</v>
      </c>
    </row>
    <row r="70" spans="1:39" x14ac:dyDescent="0.2">
      <c r="A70" s="4" t="s">
        <v>325</v>
      </c>
      <c r="B70" s="4" t="s">
        <v>1573</v>
      </c>
      <c r="C70" s="4" t="s">
        <v>326</v>
      </c>
      <c r="D70" s="4" t="s">
        <v>225</v>
      </c>
      <c r="E70" s="4" t="s">
        <v>225</v>
      </c>
      <c r="F70" t="s">
        <v>40</v>
      </c>
      <c r="G70" t="s">
        <v>327</v>
      </c>
      <c r="H70" t="s">
        <v>328</v>
      </c>
      <c r="I70" t="s">
        <v>40</v>
      </c>
      <c r="J70" t="s">
        <v>40</v>
      </c>
      <c r="K70" t="s">
        <v>40</v>
      </c>
      <c r="L70" t="s">
        <v>40</v>
      </c>
      <c r="M70">
        <v>14.100000000000001</v>
      </c>
      <c r="N70">
        <v>200</v>
      </c>
      <c r="O70">
        <v>1</v>
      </c>
      <c r="P70">
        <v>0</v>
      </c>
      <c r="Q70" t="s">
        <v>77</v>
      </c>
      <c r="R70" t="b">
        <v>0</v>
      </c>
      <c r="S70" t="s">
        <v>46</v>
      </c>
      <c r="T70" s="1">
        <v>44956</v>
      </c>
      <c r="U70" t="s">
        <v>229</v>
      </c>
      <c r="V70" s="2">
        <v>44299.402650451288</v>
      </c>
      <c r="W70" t="s">
        <v>40</v>
      </c>
      <c r="X70">
        <v>0</v>
      </c>
      <c r="Y70" t="s">
        <v>40</v>
      </c>
      <c r="Z70" t="s">
        <v>40</v>
      </c>
      <c r="AA70" t="s">
        <v>40</v>
      </c>
      <c r="AB70">
        <v>2</v>
      </c>
      <c r="AC70" s="1" t="s">
        <v>49</v>
      </c>
      <c r="AD70" t="s">
        <v>40</v>
      </c>
      <c r="AE70" t="s">
        <v>40</v>
      </c>
      <c r="AF70" t="s">
        <v>40</v>
      </c>
      <c r="AG70" t="s">
        <v>40</v>
      </c>
      <c r="AH70" t="s">
        <v>40</v>
      </c>
      <c r="AI70" t="s">
        <v>40</v>
      </c>
      <c r="AJ70" t="s">
        <v>40</v>
      </c>
      <c r="AK70" t="s">
        <v>40</v>
      </c>
      <c r="AL70" t="s">
        <v>40</v>
      </c>
      <c r="AM70" t="s">
        <v>40</v>
      </c>
    </row>
    <row r="71" spans="1:39" x14ac:dyDescent="0.2">
      <c r="A71" s="4" t="s">
        <v>329</v>
      </c>
      <c r="B71" s="4" t="s">
        <v>330</v>
      </c>
      <c r="C71" s="4" t="s">
        <v>1728</v>
      </c>
      <c r="D71" s="4" t="s">
        <v>225</v>
      </c>
      <c r="E71" s="4" t="s">
        <v>225</v>
      </c>
      <c r="F71" t="s">
        <v>331</v>
      </c>
      <c r="G71" t="s">
        <v>332</v>
      </c>
      <c r="H71" t="s">
        <v>333</v>
      </c>
      <c r="I71" t="s">
        <v>40</v>
      </c>
      <c r="J71" t="s">
        <v>40</v>
      </c>
      <c r="K71" t="s">
        <v>40</v>
      </c>
      <c r="L71" t="s">
        <v>40</v>
      </c>
      <c r="M71">
        <v>0</v>
      </c>
      <c r="N71">
        <v>200</v>
      </c>
      <c r="O71">
        <v>2</v>
      </c>
      <c r="P71">
        <v>30</v>
      </c>
      <c r="Q71" t="s">
        <v>77</v>
      </c>
      <c r="R71" t="b">
        <v>0</v>
      </c>
      <c r="S71" t="s">
        <v>46</v>
      </c>
      <c r="T71" s="1">
        <v>44504</v>
      </c>
      <c r="U71" t="s">
        <v>229</v>
      </c>
      <c r="V71" s="2">
        <v>44313.401423611213</v>
      </c>
      <c r="W71" t="s">
        <v>40</v>
      </c>
      <c r="X71">
        <v>0</v>
      </c>
      <c r="Y71" t="s">
        <v>40</v>
      </c>
      <c r="Z71" t="s">
        <v>40</v>
      </c>
      <c r="AA71" t="s">
        <v>40</v>
      </c>
      <c r="AB71">
        <v>1</v>
      </c>
      <c r="AC71" s="1">
        <v>26893</v>
      </c>
      <c r="AD71" t="s">
        <v>40</v>
      </c>
      <c r="AE71" t="s">
        <v>40</v>
      </c>
      <c r="AF71" t="s">
        <v>40</v>
      </c>
      <c r="AG71" t="s">
        <v>40</v>
      </c>
      <c r="AH71" t="s">
        <v>40</v>
      </c>
      <c r="AI71" t="s">
        <v>40</v>
      </c>
      <c r="AJ71" t="s">
        <v>40</v>
      </c>
      <c r="AK71" t="s">
        <v>40</v>
      </c>
      <c r="AL71" t="s">
        <v>40</v>
      </c>
      <c r="AM71" t="s">
        <v>40</v>
      </c>
    </row>
    <row r="72" spans="1:39" x14ac:dyDescent="0.2">
      <c r="A72" s="4" t="s">
        <v>334</v>
      </c>
      <c r="B72" s="4" t="s">
        <v>1574</v>
      </c>
      <c r="C72" s="4" t="s">
        <v>1729</v>
      </c>
      <c r="D72" s="4" t="s">
        <v>335</v>
      </c>
      <c r="E72" s="4" t="s">
        <v>336</v>
      </c>
      <c r="F72" t="s">
        <v>337</v>
      </c>
      <c r="G72" t="s">
        <v>338</v>
      </c>
      <c r="H72" t="s">
        <v>339</v>
      </c>
      <c r="I72" t="s">
        <v>40</v>
      </c>
      <c r="J72" t="s">
        <v>40</v>
      </c>
      <c r="K72" t="s">
        <v>40</v>
      </c>
      <c r="L72" t="s">
        <v>40</v>
      </c>
      <c r="M72">
        <v>12.25</v>
      </c>
      <c r="N72">
        <v>100</v>
      </c>
      <c r="O72">
        <v>1</v>
      </c>
      <c r="P72">
        <v>0</v>
      </c>
      <c r="Q72" t="s">
        <v>77</v>
      </c>
      <c r="R72" t="b">
        <v>0</v>
      </c>
      <c r="S72" t="s">
        <v>59</v>
      </c>
      <c r="T72" s="1">
        <v>44957</v>
      </c>
      <c r="U72" t="s">
        <v>229</v>
      </c>
      <c r="V72" s="2">
        <v>44323.527118055616</v>
      </c>
      <c r="W72" t="s">
        <v>40</v>
      </c>
      <c r="X72">
        <v>0</v>
      </c>
      <c r="Y72" t="s">
        <v>40</v>
      </c>
      <c r="Z72" t="s">
        <v>40</v>
      </c>
      <c r="AA72" t="s">
        <v>40</v>
      </c>
      <c r="AB72">
        <v>0</v>
      </c>
      <c r="AC72" s="1" t="s">
        <v>49</v>
      </c>
      <c r="AD72" t="s">
        <v>40</v>
      </c>
      <c r="AE72" t="s">
        <v>40</v>
      </c>
      <c r="AF72" t="s">
        <v>40</v>
      </c>
      <c r="AG72" t="s">
        <v>40</v>
      </c>
      <c r="AH72" t="s">
        <v>40</v>
      </c>
      <c r="AI72" t="s">
        <v>40</v>
      </c>
      <c r="AJ72" t="s">
        <v>40</v>
      </c>
      <c r="AK72" t="s">
        <v>40</v>
      </c>
      <c r="AL72" t="s">
        <v>40</v>
      </c>
      <c r="AM72" t="s">
        <v>40</v>
      </c>
    </row>
    <row r="73" spans="1:39" x14ac:dyDescent="0.2">
      <c r="A73" s="4" t="s">
        <v>340</v>
      </c>
      <c r="B73" s="4" t="s">
        <v>1575</v>
      </c>
      <c r="C73" s="4" t="s">
        <v>1730</v>
      </c>
      <c r="D73" s="4" t="s">
        <v>341</v>
      </c>
      <c r="E73" s="4" t="s">
        <v>225</v>
      </c>
      <c r="F73" t="s">
        <v>342</v>
      </c>
      <c r="G73" t="s">
        <v>343</v>
      </c>
      <c r="H73" t="s">
        <v>344</v>
      </c>
      <c r="I73" t="s">
        <v>40</v>
      </c>
      <c r="J73" t="s">
        <v>40</v>
      </c>
      <c r="K73" t="s">
        <v>40</v>
      </c>
      <c r="L73" t="s">
        <v>40</v>
      </c>
      <c r="M73">
        <v>44.95</v>
      </c>
      <c r="N73">
        <v>200</v>
      </c>
      <c r="O73">
        <v>2</v>
      </c>
      <c r="P73">
        <v>30</v>
      </c>
      <c r="Q73" t="s">
        <v>77</v>
      </c>
      <c r="R73" t="b">
        <v>0</v>
      </c>
      <c r="S73" t="s">
        <v>59</v>
      </c>
      <c r="T73" s="1">
        <v>45097</v>
      </c>
      <c r="U73" t="s">
        <v>229</v>
      </c>
      <c r="V73" s="2">
        <v>44329.387256944552</v>
      </c>
      <c r="W73" t="s">
        <v>40</v>
      </c>
      <c r="X73">
        <v>0</v>
      </c>
      <c r="Y73" t="s">
        <v>40</v>
      </c>
      <c r="Z73" t="s">
        <v>40</v>
      </c>
      <c r="AA73" t="s">
        <v>40</v>
      </c>
      <c r="AB73">
        <v>2</v>
      </c>
      <c r="AC73" t="s">
        <v>49</v>
      </c>
      <c r="AD73" t="s">
        <v>40</v>
      </c>
      <c r="AE73" t="s">
        <v>40</v>
      </c>
      <c r="AF73" t="s">
        <v>40</v>
      </c>
      <c r="AG73" t="s">
        <v>40</v>
      </c>
      <c r="AH73" t="s">
        <v>40</v>
      </c>
      <c r="AI73" t="s">
        <v>40</v>
      </c>
      <c r="AJ73" t="s">
        <v>40</v>
      </c>
      <c r="AK73" t="s">
        <v>40</v>
      </c>
      <c r="AL73" t="s">
        <v>40</v>
      </c>
      <c r="AM73" t="s">
        <v>40</v>
      </c>
    </row>
    <row r="74" spans="1:39" x14ac:dyDescent="0.2">
      <c r="A74" s="4" t="s">
        <v>345</v>
      </c>
      <c r="B74" s="4" t="s">
        <v>346</v>
      </c>
      <c r="C74" s="4" t="s">
        <v>347</v>
      </c>
      <c r="D74" s="4" t="s">
        <v>225</v>
      </c>
      <c r="E74" s="4" t="s">
        <v>225</v>
      </c>
      <c r="F74" t="s">
        <v>40</v>
      </c>
      <c r="G74" t="s">
        <v>348</v>
      </c>
      <c r="H74" t="s">
        <v>349</v>
      </c>
      <c r="I74" t="s">
        <v>40</v>
      </c>
      <c r="J74" t="s">
        <v>40</v>
      </c>
      <c r="K74" t="s">
        <v>40</v>
      </c>
      <c r="L74" t="s">
        <v>40</v>
      </c>
      <c r="M74">
        <v>4.7</v>
      </c>
      <c r="N74">
        <v>20</v>
      </c>
      <c r="O74">
        <v>2</v>
      </c>
      <c r="P74">
        <v>30</v>
      </c>
      <c r="Q74" t="s">
        <v>77</v>
      </c>
      <c r="R74" t="b">
        <v>0</v>
      </c>
      <c r="S74" t="s">
        <v>59</v>
      </c>
      <c r="T74">
        <v>44517</v>
      </c>
      <c r="U74" t="s">
        <v>229</v>
      </c>
      <c r="V74" s="2">
        <v>44347.37355322903</v>
      </c>
      <c r="W74" t="s">
        <v>350</v>
      </c>
      <c r="X74">
        <v>0</v>
      </c>
      <c r="Y74" t="s">
        <v>40</v>
      </c>
      <c r="Z74" t="s">
        <v>40</v>
      </c>
      <c r="AA74" t="s">
        <v>40</v>
      </c>
      <c r="AB74">
        <v>1</v>
      </c>
      <c r="AC74">
        <v>62362</v>
      </c>
      <c r="AD74" t="s">
        <v>40</v>
      </c>
      <c r="AE74" t="s">
        <v>40</v>
      </c>
      <c r="AF74" t="s">
        <v>40</v>
      </c>
      <c r="AG74" t="s">
        <v>40</v>
      </c>
      <c r="AH74" t="s">
        <v>40</v>
      </c>
      <c r="AI74" t="s">
        <v>40</v>
      </c>
      <c r="AJ74" t="s">
        <v>40</v>
      </c>
      <c r="AK74" t="s">
        <v>40</v>
      </c>
      <c r="AL74" t="s">
        <v>40</v>
      </c>
      <c r="AM74" t="s">
        <v>40</v>
      </c>
    </row>
    <row r="75" spans="1:39" x14ac:dyDescent="0.2">
      <c r="A75" s="4" t="s">
        <v>351</v>
      </c>
      <c r="B75" s="4" t="s">
        <v>1576</v>
      </c>
      <c r="C75" s="4" t="s">
        <v>352</v>
      </c>
      <c r="D75" s="4" t="s">
        <v>225</v>
      </c>
      <c r="E75" s="4" t="s">
        <v>225</v>
      </c>
      <c r="F75" t="s">
        <v>40</v>
      </c>
      <c r="G75" t="s">
        <v>353</v>
      </c>
      <c r="H75" t="s">
        <v>354</v>
      </c>
      <c r="I75" t="s">
        <v>40</v>
      </c>
      <c r="J75" t="s">
        <v>40</v>
      </c>
      <c r="K75" t="s">
        <v>40</v>
      </c>
      <c r="L75" t="s">
        <v>40</v>
      </c>
      <c r="M75">
        <v>48.2</v>
      </c>
      <c r="N75">
        <v>200</v>
      </c>
      <c r="O75">
        <v>1</v>
      </c>
      <c r="P75">
        <v>0</v>
      </c>
      <c r="Q75" t="s">
        <v>77</v>
      </c>
      <c r="R75" t="b">
        <v>0</v>
      </c>
      <c r="S75" t="s">
        <v>46</v>
      </c>
      <c r="T75">
        <v>45190</v>
      </c>
      <c r="U75" t="s">
        <v>229</v>
      </c>
      <c r="V75" s="2">
        <v>44351.674745358992</v>
      </c>
      <c r="W75" t="s">
        <v>40</v>
      </c>
      <c r="X75">
        <v>0</v>
      </c>
      <c r="Y75" t="s">
        <v>40</v>
      </c>
      <c r="Z75" t="s">
        <v>40</v>
      </c>
      <c r="AA75" t="s">
        <v>40</v>
      </c>
      <c r="AB75">
        <v>2</v>
      </c>
      <c r="AC75" s="1">
        <v>34233</v>
      </c>
      <c r="AD75" t="s">
        <v>40</v>
      </c>
      <c r="AE75" t="s">
        <v>40</v>
      </c>
      <c r="AF75" t="s">
        <v>40</v>
      </c>
      <c r="AG75" t="s">
        <v>40</v>
      </c>
      <c r="AH75" t="s">
        <v>40</v>
      </c>
      <c r="AI75" t="s">
        <v>40</v>
      </c>
      <c r="AJ75" t="s">
        <v>40</v>
      </c>
      <c r="AK75" t="s">
        <v>40</v>
      </c>
      <c r="AL75" t="s">
        <v>40</v>
      </c>
      <c r="AM75" t="s">
        <v>40</v>
      </c>
    </row>
    <row r="76" spans="1:39" x14ac:dyDescent="0.2">
      <c r="A76" s="4" t="s">
        <v>355</v>
      </c>
      <c r="B76" s="4" t="s">
        <v>356</v>
      </c>
      <c r="C76" s="4" t="s">
        <v>1731</v>
      </c>
      <c r="D76" s="4" t="s">
        <v>51</v>
      </c>
      <c r="E76" s="4" t="s">
        <v>51</v>
      </c>
      <c r="F76" t="s">
        <v>357</v>
      </c>
      <c r="G76" t="s">
        <v>358</v>
      </c>
      <c r="H76" t="s">
        <v>359</v>
      </c>
      <c r="I76" t="s">
        <v>40</v>
      </c>
      <c r="J76" t="s">
        <v>40</v>
      </c>
      <c r="K76" t="s">
        <v>40</v>
      </c>
      <c r="L76" t="s">
        <v>40</v>
      </c>
      <c r="M76">
        <v>0</v>
      </c>
      <c r="N76">
        <v>200</v>
      </c>
      <c r="O76">
        <v>2</v>
      </c>
      <c r="P76">
        <v>30</v>
      </c>
      <c r="Q76" t="s">
        <v>77</v>
      </c>
      <c r="R76" t="b">
        <v>0</v>
      </c>
      <c r="S76" t="s">
        <v>59</v>
      </c>
      <c r="T76" s="1">
        <v>44965</v>
      </c>
      <c r="U76" t="s">
        <v>229</v>
      </c>
      <c r="V76" s="2">
        <v>44370.431979166809</v>
      </c>
      <c r="W76" t="s">
        <v>40</v>
      </c>
      <c r="X76">
        <v>0</v>
      </c>
      <c r="Y76" t="s">
        <v>40</v>
      </c>
      <c r="Z76" t="s">
        <v>40</v>
      </c>
      <c r="AA76" t="s">
        <v>40</v>
      </c>
      <c r="AB76">
        <v>1</v>
      </c>
      <c r="AC76" s="1">
        <v>34215</v>
      </c>
      <c r="AD76" t="s">
        <v>40</v>
      </c>
      <c r="AE76" t="s">
        <v>40</v>
      </c>
      <c r="AF76" t="s">
        <v>40</v>
      </c>
      <c r="AG76" t="s">
        <v>40</v>
      </c>
      <c r="AH76" t="s">
        <v>40</v>
      </c>
      <c r="AI76" t="s">
        <v>40</v>
      </c>
      <c r="AJ76" t="s">
        <v>40</v>
      </c>
      <c r="AK76" t="s">
        <v>40</v>
      </c>
      <c r="AL76" t="s">
        <v>40</v>
      </c>
      <c r="AM76" t="s">
        <v>40</v>
      </c>
    </row>
    <row r="77" spans="1:39" x14ac:dyDescent="0.2">
      <c r="A77" s="4" t="s">
        <v>360</v>
      </c>
      <c r="B77" s="4" t="s">
        <v>1577</v>
      </c>
      <c r="C77" s="4" t="s">
        <v>1732</v>
      </c>
      <c r="D77" s="4" t="s">
        <v>361</v>
      </c>
      <c r="E77" s="4" t="s">
        <v>362</v>
      </c>
      <c r="F77" t="s">
        <v>363</v>
      </c>
      <c r="G77" t="s">
        <v>364</v>
      </c>
      <c r="H77" t="s">
        <v>365</v>
      </c>
      <c r="I77" t="s">
        <v>40</v>
      </c>
      <c r="J77" t="s">
        <v>40</v>
      </c>
      <c r="K77" t="s">
        <v>40</v>
      </c>
      <c r="L77" t="s">
        <v>40</v>
      </c>
      <c r="M77">
        <v>12.25</v>
      </c>
      <c r="N77">
        <v>200</v>
      </c>
      <c r="O77">
        <v>2</v>
      </c>
      <c r="P77">
        <v>30</v>
      </c>
      <c r="Q77" t="s">
        <v>68</v>
      </c>
      <c r="R77" t="b">
        <v>0</v>
      </c>
      <c r="S77" t="s">
        <v>87</v>
      </c>
      <c r="T77" s="1">
        <v>44385</v>
      </c>
      <c r="U77" t="s">
        <v>229</v>
      </c>
      <c r="V77" s="2">
        <v>44375.378715266008</v>
      </c>
      <c r="W77" t="s">
        <v>40</v>
      </c>
      <c r="X77">
        <v>0</v>
      </c>
      <c r="Y77" t="s">
        <v>40</v>
      </c>
      <c r="Z77" t="s">
        <v>40</v>
      </c>
      <c r="AA77" t="s">
        <v>40</v>
      </c>
      <c r="AB77">
        <v>2</v>
      </c>
      <c r="AC77" s="1" t="s">
        <v>49</v>
      </c>
      <c r="AD77" t="s">
        <v>40</v>
      </c>
      <c r="AE77" t="s">
        <v>40</v>
      </c>
      <c r="AF77" t="s">
        <v>40</v>
      </c>
      <c r="AG77" t="s">
        <v>40</v>
      </c>
      <c r="AH77" t="s">
        <v>40</v>
      </c>
      <c r="AI77" t="s">
        <v>40</v>
      </c>
      <c r="AJ77" t="s">
        <v>40</v>
      </c>
      <c r="AK77" t="s">
        <v>40</v>
      </c>
      <c r="AL77" t="s">
        <v>40</v>
      </c>
      <c r="AM77" t="s">
        <v>40</v>
      </c>
    </row>
    <row r="78" spans="1:39" x14ac:dyDescent="0.2">
      <c r="A78" s="4" t="s">
        <v>366</v>
      </c>
      <c r="B78" s="4" t="s">
        <v>1578</v>
      </c>
      <c r="C78" s="4" t="s">
        <v>1733</v>
      </c>
      <c r="D78" s="4" t="s">
        <v>367</v>
      </c>
      <c r="E78" s="4" t="s">
        <v>368</v>
      </c>
      <c r="F78" t="s">
        <v>369</v>
      </c>
      <c r="G78" t="s">
        <v>370</v>
      </c>
      <c r="H78" t="s">
        <v>371</v>
      </c>
      <c r="I78" t="s">
        <v>40</v>
      </c>
      <c r="J78" t="s">
        <v>40</v>
      </c>
      <c r="K78" t="s">
        <v>40</v>
      </c>
      <c r="L78" t="s">
        <v>40</v>
      </c>
      <c r="M78">
        <v>142.46</v>
      </c>
      <c r="N78">
        <v>0</v>
      </c>
      <c r="O78">
        <v>1</v>
      </c>
      <c r="P78">
        <v>0</v>
      </c>
      <c r="Q78" t="s">
        <v>77</v>
      </c>
      <c r="R78" t="b">
        <v>0</v>
      </c>
      <c r="S78" t="s">
        <v>40</v>
      </c>
      <c r="T78" s="1" t="s">
        <v>49</v>
      </c>
      <c r="U78" t="s">
        <v>229</v>
      </c>
      <c r="V78" s="2">
        <v>44378.639814815018</v>
      </c>
      <c r="W78" t="s">
        <v>40</v>
      </c>
      <c r="X78">
        <v>0</v>
      </c>
      <c r="Y78" t="s">
        <v>40</v>
      </c>
      <c r="Z78" t="s">
        <v>40</v>
      </c>
      <c r="AA78" t="s">
        <v>40</v>
      </c>
      <c r="AB78">
        <v>2</v>
      </c>
      <c r="AC78" s="1" t="s">
        <v>49</v>
      </c>
      <c r="AD78" t="s">
        <v>40</v>
      </c>
      <c r="AE78" t="s">
        <v>40</v>
      </c>
      <c r="AF78" t="s">
        <v>40</v>
      </c>
      <c r="AG78" t="s">
        <v>40</v>
      </c>
      <c r="AH78" t="s">
        <v>40</v>
      </c>
      <c r="AI78" t="s">
        <v>40</v>
      </c>
      <c r="AJ78" t="s">
        <v>40</v>
      </c>
      <c r="AK78" t="s">
        <v>40</v>
      </c>
      <c r="AL78" t="s">
        <v>40</v>
      </c>
      <c r="AM78" t="s">
        <v>40</v>
      </c>
    </row>
    <row r="79" spans="1:39" x14ac:dyDescent="0.2">
      <c r="A79" s="4" t="s">
        <v>1475</v>
      </c>
      <c r="B79" s="4" t="s">
        <v>373</v>
      </c>
      <c r="C79" s="4" t="s">
        <v>40</v>
      </c>
      <c r="D79" s="4" t="s">
        <v>225</v>
      </c>
      <c r="E79" s="4" t="s">
        <v>225</v>
      </c>
      <c r="F79" t="s">
        <v>40</v>
      </c>
      <c r="G79" t="s">
        <v>372</v>
      </c>
      <c r="H79" t="s">
        <v>288</v>
      </c>
      <c r="I79" t="s">
        <v>40</v>
      </c>
      <c r="J79" t="s">
        <v>40</v>
      </c>
      <c r="K79" t="s">
        <v>40</v>
      </c>
      <c r="L79" t="s">
        <v>40</v>
      </c>
      <c r="M79">
        <v>0</v>
      </c>
      <c r="N79">
        <v>200</v>
      </c>
      <c r="O79">
        <v>2</v>
      </c>
      <c r="P79">
        <v>30</v>
      </c>
      <c r="Q79" t="s">
        <v>77</v>
      </c>
      <c r="R79" t="b">
        <v>0</v>
      </c>
      <c r="S79" t="s">
        <v>40</v>
      </c>
      <c r="T79" s="1" t="s">
        <v>49</v>
      </c>
      <c r="U79" t="s">
        <v>229</v>
      </c>
      <c r="V79" s="2">
        <v>44398.393159722444</v>
      </c>
      <c r="W79" t="s">
        <v>39</v>
      </c>
      <c r="X79">
        <v>0</v>
      </c>
      <c r="Y79" t="s">
        <v>40</v>
      </c>
      <c r="Z79" t="s">
        <v>40</v>
      </c>
      <c r="AA79" t="s">
        <v>40</v>
      </c>
      <c r="AB79">
        <v>1</v>
      </c>
      <c r="AC79" s="1" t="s">
        <v>49</v>
      </c>
      <c r="AD79" t="s">
        <v>40</v>
      </c>
      <c r="AE79" t="s">
        <v>40</v>
      </c>
      <c r="AF79" t="s">
        <v>40</v>
      </c>
      <c r="AG79" t="s">
        <v>40</v>
      </c>
      <c r="AH79" t="s">
        <v>40</v>
      </c>
      <c r="AI79" t="s">
        <v>40</v>
      </c>
      <c r="AJ79" t="s">
        <v>40</v>
      </c>
      <c r="AK79" t="s">
        <v>40</v>
      </c>
      <c r="AL79" t="s">
        <v>40</v>
      </c>
      <c r="AM79" t="s">
        <v>40</v>
      </c>
    </row>
    <row r="80" spans="1:39" x14ac:dyDescent="0.2">
      <c r="A80" s="4" t="s">
        <v>1476</v>
      </c>
      <c r="B80" s="4" t="s">
        <v>1579</v>
      </c>
      <c r="C80" s="4" t="s">
        <v>1734</v>
      </c>
      <c r="D80" s="4" t="s">
        <v>51</v>
      </c>
      <c r="E80" s="4" t="s">
        <v>51</v>
      </c>
      <c r="F80" t="s">
        <v>374</v>
      </c>
      <c r="G80" t="s">
        <v>375</v>
      </c>
      <c r="H80" t="s">
        <v>376</v>
      </c>
      <c r="I80" t="s">
        <v>40</v>
      </c>
      <c r="J80" t="s">
        <v>40</v>
      </c>
      <c r="K80" t="s">
        <v>40</v>
      </c>
      <c r="L80" t="s">
        <v>40</v>
      </c>
      <c r="M80">
        <v>17.150000000000002</v>
      </c>
      <c r="N80">
        <v>200</v>
      </c>
      <c r="O80">
        <v>1</v>
      </c>
      <c r="P80">
        <v>0</v>
      </c>
      <c r="Q80" t="s">
        <v>77</v>
      </c>
      <c r="R80" t="b">
        <v>0</v>
      </c>
      <c r="S80" t="s">
        <v>87</v>
      </c>
      <c r="T80" s="1">
        <v>45318</v>
      </c>
      <c r="U80" t="s">
        <v>229</v>
      </c>
      <c r="V80" s="2">
        <v>44398.419224525336</v>
      </c>
      <c r="W80" t="s">
        <v>40</v>
      </c>
      <c r="X80">
        <v>0</v>
      </c>
      <c r="Y80" t="s">
        <v>40</v>
      </c>
      <c r="Z80" t="s">
        <v>40</v>
      </c>
      <c r="AA80" t="s">
        <v>40</v>
      </c>
      <c r="AB80">
        <v>2</v>
      </c>
      <c r="AC80" s="1" t="s">
        <v>49</v>
      </c>
      <c r="AD80" t="s">
        <v>40</v>
      </c>
      <c r="AE80" t="s">
        <v>40</v>
      </c>
      <c r="AF80" t="s">
        <v>40</v>
      </c>
      <c r="AG80" t="s">
        <v>40</v>
      </c>
      <c r="AH80" t="s">
        <v>40</v>
      </c>
      <c r="AI80" t="s">
        <v>40</v>
      </c>
      <c r="AJ80" t="s">
        <v>40</v>
      </c>
      <c r="AK80" t="s">
        <v>40</v>
      </c>
      <c r="AL80" t="s">
        <v>40</v>
      </c>
      <c r="AM80" t="s">
        <v>40</v>
      </c>
    </row>
    <row r="81" spans="1:39" x14ac:dyDescent="0.2">
      <c r="A81" s="4" t="s">
        <v>1477</v>
      </c>
      <c r="B81" s="4" t="s">
        <v>378</v>
      </c>
      <c r="C81" s="4" t="s">
        <v>40</v>
      </c>
      <c r="D81" s="4" t="s">
        <v>40</v>
      </c>
      <c r="E81" s="4" t="s">
        <v>40</v>
      </c>
      <c r="F81" t="s">
        <v>40</v>
      </c>
      <c r="G81" t="s">
        <v>377</v>
      </c>
      <c r="H81" t="s">
        <v>288</v>
      </c>
      <c r="I81" t="s">
        <v>40</v>
      </c>
      <c r="J81" t="s">
        <v>40</v>
      </c>
      <c r="K81" t="s">
        <v>40</v>
      </c>
      <c r="L81" t="s">
        <v>40</v>
      </c>
      <c r="M81">
        <v>9.8000000000000007</v>
      </c>
      <c r="N81">
        <v>200</v>
      </c>
      <c r="O81">
        <v>2</v>
      </c>
      <c r="P81">
        <v>30</v>
      </c>
      <c r="Q81" t="s">
        <v>77</v>
      </c>
      <c r="R81" t="b">
        <v>0</v>
      </c>
      <c r="S81" t="s">
        <v>40</v>
      </c>
      <c r="T81" s="1" t="s">
        <v>49</v>
      </c>
      <c r="U81" t="s">
        <v>229</v>
      </c>
      <c r="V81" s="2">
        <v>44400.451608784497</v>
      </c>
      <c r="W81" t="s">
        <v>40</v>
      </c>
      <c r="X81">
        <v>0</v>
      </c>
      <c r="Y81" t="s">
        <v>40</v>
      </c>
      <c r="Z81" t="s">
        <v>40</v>
      </c>
      <c r="AA81" t="s">
        <v>40</v>
      </c>
      <c r="AB81">
        <v>1</v>
      </c>
      <c r="AC81" s="1" t="s">
        <v>49</v>
      </c>
      <c r="AD81" t="s">
        <v>40</v>
      </c>
      <c r="AE81" t="s">
        <v>40</v>
      </c>
      <c r="AF81" t="s">
        <v>40</v>
      </c>
      <c r="AG81" t="s">
        <v>40</v>
      </c>
      <c r="AH81" t="s">
        <v>40</v>
      </c>
      <c r="AI81" t="s">
        <v>40</v>
      </c>
      <c r="AJ81" t="s">
        <v>40</v>
      </c>
      <c r="AK81" t="s">
        <v>40</v>
      </c>
      <c r="AL81" t="s">
        <v>40</v>
      </c>
      <c r="AM81" t="s">
        <v>40</v>
      </c>
    </row>
    <row r="82" spans="1:39" x14ac:dyDescent="0.2">
      <c r="A82" s="4" t="s">
        <v>1478</v>
      </c>
      <c r="B82" s="4" t="s">
        <v>380</v>
      </c>
      <c r="C82" s="4" t="s">
        <v>40</v>
      </c>
      <c r="D82" s="4" t="s">
        <v>40</v>
      </c>
      <c r="E82" s="4" t="s">
        <v>40</v>
      </c>
      <c r="F82" t="s">
        <v>40</v>
      </c>
      <c r="G82" t="s">
        <v>379</v>
      </c>
      <c r="H82" t="s">
        <v>288</v>
      </c>
      <c r="I82" t="s">
        <v>40</v>
      </c>
      <c r="J82" t="s">
        <v>40</v>
      </c>
      <c r="K82" t="s">
        <v>40</v>
      </c>
      <c r="L82" t="s">
        <v>40</v>
      </c>
      <c r="M82">
        <v>0</v>
      </c>
      <c r="N82">
        <v>200</v>
      </c>
      <c r="O82">
        <v>2</v>
      </c>
      <c r="P82">
        <v>30</v>
      </c>
      <c r="Q82" t="s">
        <v>77</v>
      </c>
      <c r="R82" t="b">
        <v>0</v>
      </c>
      <c r="S82" t="s">
        <v>40</v>
      </c>
      <c r="T82" s="1" t="s">
        <v>49</v>
      </c>
      <c r="U82" t="s">
        <v>229</v>
      </c>
      <c r="V82" s="2">
        <v>44400.45266203722</v>
      </c>
      <c r="W82" t="s">
        <v>40</v>
      </c>
      <c r="X82">
        <v>0</v>
      </c>
      <c r="Y82" t="s">
        <v>40</v>
      </c>
      <c r="Z82" t="s">
        <v>40</v>
      </c>
      <c r="AA82" t="s">
        <v>40</v>
      </c>
      <c r="AB82">
        <v>1</v>
      </c>
      <c r="AC82" s="1" t="s">
        <v>49</v>
      </c>
      <c r="AD82" t="s">
        <v>40</v>
      </c>
      <c r="AE82" t="s">
        <v>40</v>
      </c>
      <c r="AF82" t="s">
        <v>40</v>
      </c>
      <c r="AG82" t="s">
        <v>40</v>
      </c>
      <c r="AH82" t="s">
        <v>40</v>
      </c>
      <c r="AI82" t="s">
        <v>40</v>
      </c>
      <c r="AJ82" t="s">
        <v>40</v>
      </c>
      <c r="AK82" t="s">
        <v>40</v>
      </c>
      <c r="AL82" t="s">
        <v>40</v>
      </c>
      <c r="AM82" t="s">
        <v>40</v>
      </c>
    </row>
    <row r="83" spans="1:39" x14ac:dyDescent="0.2">
      <c r="A83" s="4" t="s">
        <v>1479</v>
      </c>
      <c r="B83" s="4" t="s">
        <v>382</v>
      </c>
      <c r="C83" s="4" t="s">
        <v>40</v>
      </c>
      <c r="D83" s="4" t="s">
        <v>40</v>
      </c>
      <c r="E83" s="4" t="s">
        <v>40</v>
      </c>
      <c r="F83" t="s">
        <v>40</v>
      </c>
      <c r="G83" t="s">
        <v>381</v>
      </c>
      <c r="H83" t="s">
        <v>288</v>
      </c>
      <c r="I83" t="s">
        <v>40</v>
      </c>
      <c r="J83" t="s">
        <v>40</v>
      </c>
      <c r="K83" t="s">
        <v>40</v>
      </c>
      <c r="L83" t="s">
        <v>40</v>
      </c>
      <c r="M83">
        <v>11.350000000000001</v>
      </c>
      <c r="N83">
        <v>200</v>
      </c>
      <c r="O83">
        <v>2</v>
      </c>
      <c r="P83">
        <v>30</v>
      </c>
      <c r="Q83" t="s">
        <v>77</v>
      </c>
      <c r="R83" t="b">
        <v>0</v>
      </c>
      <c r="S83" t="s">
        <v>59</v>
      </c>
      <c r="T83">
        <v>44977</v>
      </c>
      <c r="U83" t="s">
        <v>229</v>
      </c>
      <c r="V83" s="2">
        <v>44404.405150451232</v>
      </c>
      <c r="W83" t="s">
        <v>40</v>
      </c>
      <c r="X83">
        <v>0</v>
      </c>
      <c r="Y83" t="s">
        <v>40</v>
      </c>
      <c r="Z83" t="s">
        <v>40</v>
      </c>
      <c r="AA83" t="s">
        <v>40</v>
      </c>
      <c r="AB83">
        <v>0</v>
      </c>
      <c r="AC83" s="1" t="s">
        <v>49</v>
      </c>
      <c r="AD83" t="s">
        <v>40</v>
      </c>
      <c r="AE83" t="s">
        <v>40</v>
      </c>
      <c r="AF83" t="s">
        <v>40</v>
      </c>
      <c r="AG83" t="s">
        <v>40</v>
      </c>
      <c r="AH83" t="s">
        <v>40</v>
      </c>
      <c r="AI83" t="s">
        <v>40</v>
      </c>
      <c r="AJ83" t="s">
        <v>40</v>
      </c>
      <c r="AK83" t="s">
        <v>40</v>
      </c>
      <c r="AL83" t="s">
        <v>40</v>
      </c>
      <c r="AM83" t="s">
        <v>40</v>
      </c>
    </row>
    <row r="84" spans="1:39" x14ac:dyDescent="0.2">
      <c r="A84" s="4" t="s">
        <v>1480</v>
      </c>
      <c r="B84" s="4" t="s">
        <v>384</v>
      </c>
      <c r="C84" s="4" t="s">
        <v>385</v>
      </c>
      <c r="D84" s="4" t="s">
        <v>386</v>
      </c>
      <c r="E84" s="4" t="s">
        <v>386</v>
      </c>
      <c r="F84" t="s">
        <v>40</v>
      </c>
      <c r="G84" t="s">
        <v>383</v>
      </c>
      <c r="H84" t="s">
        <v>288</v>
      </c>
      <c r="I84" t="s">
        <v>40</v>
      </c>
      <c r="J84" t="s">
        <v>40</v>
      </c>
      <c r="K84" t="s">
        <v>40</v>
      </c>
      <c r="L84" t="s">
        <v>40</v>
      </c>
      <c r="M84">
        <v>0</v>
      </c>
      <c r="N84">
        <v>200</v>
      </c>
      <c r="O84">
        <v>2</v>
      </c>
      <c r="P84">
        <v>30</v>
      </c>
      <c r="Q84" t="s">
        <v>77</v>
      </c>
      <c r="R84" t="b">
        <v>0</v>
      </c>
      <c r="S84" t="s">
        <v>59</v>
      </c>
      <c r="T84" s="1" t="s">
        <v>49</v>
      </c>
      <c r="U84" t="s">
        <v>229</v>
      </c>
      <c r="V84" s="2">
        <v>44404.414386574179</v>
      </c>
      <c r="W84" t="s">
        <v>40</v>
      </c>
      <c r="X84">
        <v>0</v>
      </c>
      <c r="Y84" t="s">
        <v>40</v>
      </c>
      <c r="Z84" t="s">
        <v>40</v>
      </c>
      <c r="AA84" t="s">
        <v>40</v>
      </c>
      <c r="AB84">
        <v>0</v>
      </c>
      <c r="AC84" s="1" t="s">
        <v>49</v>
      </c>
      <c r="AD84" t="s">
        <v>40</v>
      </c>
      <c r="AE84" t="s">
        <v>40</v>
      </c>
      <c r="AF84" t="s">
        <v>40</v>
      </c>
      <c r="AG84" t="s">
        <v>40</v>
      </c>
      <c r="AH84" t="s">
        <v>40</v>
      </c>
      <c r="AI84" t="s">
        <v>40</v>
      </c>
      <c r="AJ84" t="s">
        <v>40</v>
      </c>
      <c r="AK84" t="s">
        <v>40</v>
      </c>
      <c r="AL84" t="s">
        <v>40</v>
      </c>
      <c r="AM84" t="s">
        <v>40</v>
      </c>
    </row>
    <row r="85" spans="1:39" x14ac:dyDescent="0.2">
      <c r="A85" s="4" t="s">
        <v>1481</v>
      </c>
      <c r="B85" s="4" t="s">
        <v>388</v>
      </c>
      <c r="C85" s="4" t="s">
        <v>40</v>
      </c>
      <c r="D85" s="4" t="s">
        <v>40</v>
      </c>
      <c r="E85" s="4" t="s">
        <v>40</v>
      </c>
      <c r="F85" t="s">
        <v>40</v>
      </c>
      <c r="G85" t="s">
        <v>387</v>
      </c>
      <c r="H85" t="s">
        <v>288</v>
      </c>
      <c r="I85" t="s">
        <v>40</v>
      </c>
      <c r="J85" t="s">
        <v>40</v>
      </c>
      <c r="K85" t="s">
        <v>40</v>
      </c>
      <c r="L85" t="s">
        <v>40</v>
      </c>
      <c r="M85">
        <v>0</v>
      </c>
      <c r="N85">
        <v>200</v>
      </c>
      <c r="O85">
        <v>2</v>
      </c>
      <c r="P85">
        <v>30</v>
      </c>
      <c r="Q85" t="s">
        <v>77</v>
      </c>
      <c r="R85" t="b">
        <v>0</v>
      </c>
      <c r="S85" t="s">
        <v>59</v>
      </c>
      <c r="T85" s="1" t="s">
        <v>49</v>
      </c>
      <c r="U85" t="s">
        <v>229</v>
      </c>
      <c r="V85" s="2">
        <v>44404.4158680439</v>
      </c>
      <c r="W85" t="s">
        <v>40</v>
      </c>
      <c r="X85">
        <v>0</v>
      </c>
      <c r="Y85" t="s">
        <v>40</v>
      </c>
      <c r="Z85" t="s">
        <v>40</v>
      </c>
      <c r="AA85" t="s">
        <v>40</v>
      </c>
      <c r="AB85">
        <v>0</v>
      </c>
      <c r="AC85" s="1" t="s">
        <v>49</v>
      </c>
      <c r="AD85" t="s">
        <v>40</v>
      </c>
      <c r="AE85" t="s">
        <v>40</v>
      </c>
      <c r="AF85" t="s">
        <v>40</v>
      </c>
      <c r="AG85" t="s">
        <v>40</v>
      </c>
      <c r="AH85" t="s">
        <v>40</v>
      </c>
      <c r="AI85" t="s">
        <v>40</v>
      </c>
      <c r="AJ85" t="s">
        <v>40</v>
      </c>
      <c r="AK85" t="s">
        <v>40</v>
      </c>
      <c r="AL85" t="s">
        <v>40</v>
      </c>
      <c r="AM85" t="s">
        <v>40</v>
      </c>
    </row>
    <row r="86" spans="1:39" x14ac:dyDescent="0.2">
      <c r="A86" s="4" t="s">
        <v>1482</v>
      </c>
      <c r="B86" s="4" t="s">
        <v>390</v>
      </c>
      <c r="C86" s="4" t="s">
        <v>40</v>
      </c>
      <c r="D86" s="4" t="s">
        <v>40</v>
      </c>
      <c r="E86" s="4" t="s">
        <v>40</v>
      </c>
      <c r="F86" t="s">
        <v>40</v>
      </c>
      <c r="G86" t="s">
        <v>389</v>
      </c>
      <c r="H86" t="s">
        <v>288</v>
      </c>
      <c r="I86" t="s">
        <v>40</v>
      </c>
      <c r="J86" t="s">
        <v>40</v>
      </c>
      <c r="K86" t="s">
        <v>40</v>
      </c>
      <c r="L86" t="s">
        <v>40</v>
      </c>
      <c r="M86">
        <v>0</v>
      </c>
      <c r="N86">
        <v>200</v>
      </c>
      <c r="O86">
        <v>2</v>
      </c>
      <c r="P86">
        <v>30</v>
      </c>
      <c r="Q86" t="s">
        <v>77</v>
      </c>
      <c r="R86" t="b">
        <v>0</v>
      </c>
      <c r="S86" t="s">
        <v>59</v>
      </c>
      <c r="T86">
        <v>45055</v>
      </c>
      <c r="U86" t="s">
        <v>229</v>
      </c>
      <c r="V86" s="2">
        <v>44404.419513877481</v>
      </c>
      <c r="W86" t="s">
        <v>40</v>
      </c>
      <c r="X86">
        <v>0</v>
      </c>
      <c r="Y86" t="s">
        <v>40</v>
      </c>
      <c r="Z86" t="s">
        <v>40</v>
      </c>
      <c r="AA86" t="s">
        <v>40</v>
      </c>
      <c r="AB86">
        <v>0</v>
      </c>
      <c r="AC86" s="1" t="s">
        <v>49</v>
      </c>
      <c r="AD86" t="s">
        <v>40</v>
      </c>
      <c r="AE86" t="s">
        <v>40</v>
      </c>
      <c r="AF86" t="s">
        <v>40</v>
      </c>
      <c r="AG86" t="s">
        <v>40</v>
      </c>
      <c r="AH86" t="s">
        <v>40</v>
      </c>
      <c r="AI86" t="s">
        <v>40</v>
      </c>
      <c r="AJ86" t="s">
        <v>40</v>
      </c>
      <c r="AK86" t="s">
        <v>40</v>
      </c>
      <c r="AL86" t="s">
        <v>40</v>
      </c>
      <c r="AM86" t="s">
        <v>40</v>
      </c>
    </row>
    <row r="87" spans="1:39" x14ac:dyDescent="0.2">
      <c r="A87" s="4" t="s">
        <v>1483</v>
      </c>
      <c r="B87" s="4" t="s">
        <v>392</v>
      </c>
      <c r="C87" s="4" t="s">
        <v>40</v>
      </c>
      <c r="D87" s="4" t="s">
        <v>40</v>
      </c>
      <c r="E87" s="4" t="s">
        <v>40</v>
      </c>
      <c r="F87" t="s">
        <v>40</v>
      </c>
      <c r="G87" t="s">
        <v>391</v>
      </c>
      <c r="H87" t="s">
        <v>288</v>
      </c>
      <c r="I87" t="s">
        <v>40</v>
      </c>
      <c r="J87" t="s">
        <v>40</v>
      </c>
      <c r="K87" t="s">
        <v>40</v>
      </c>
      <c r="L87" t="s">
        <v>40</v>
      </c>
      <c r="M87">
        <v>4.7</v>
      </c>
      <c r="N87">
        <v>200</v>
      </c>
      <c r="O87">
        <v>2</v>
      </c>
      <c r="P87">
        <v>30</v>
      </c>
      <c r="Q87" t="s">
        <v>77</v>
      </c>
      <c r="R87" t="b">
        <v>0</v>
      </c>
      <c r="S87" t="s">
        <v>59</v>
      </c>
      <c r="T87" s="1">
        <v>44936</v>
      </c>
      <c r="U87" t="s">
        <v>229</v>
      </c>
      <c r="V87" s="2">
        <v>44404.420543970075</v>
      </c>
      <c r="W87" t="s">
        <v>40</v>
      </c>
      <c r="X87">
        <v>0</v>
      </c>
      <c r="Y87" t="s">
        <v>40</v>
      </c>
      <c r="Z87" t="s">
        <v>40</v>
      </c>
      <c r="AA87" t="s">
        <v>40</v>
      </c>
      <c r="AB87">
        <v>0</v>
      </c>
      <c r="AC87" s="1" t="s">
        <v>49</v>
      </c>
      <c r="AD87" t="s">
        <v>40</v>
      </c>
      <c r="AE87" t="s">
        <v>40</v>
      </c>
      <c r="AF87" t="s">
        <v>40</v>
      </c>
      <c r="AG87" t="s">
        <v>40</v>
      </c>
      <c r="AH87" t="s">
        <v>40</v>
      </c>
      <c r="AI87" t="s">
        <v>40</v>
      </c>
      <c r="AJ87" t="s">
        <v>40</v>
      </c>
      <c r="AK87" t="s">
        <v>40</v>
      </c>
      <c r="AL87" t="s">
        <v>40</v>
      </c>
      <c r="AM87" t="s">
        <v>40</v>
      </c>
    </row>
    <row r="88" spans="1:39" x14ac:dyDescent="0.2">
      <c r="A88" s="4" t="s">
        <v>1484</v>
      </c>
      <c r="B88" s="4" t="s">
        <v>394</v>
      </c>
      <c r="C88" s="4" t="s">
        <v>40</v>
      </c>
      <c r="D88" s="4" t="s">
        <v>40</v>
      </c>
      <c r="E88" s="4" t="s">
        <v>40</v>
      </c>
      <c r="F88" t="s">
        <v>40</v>
      </c>
      <c r="G88" t="s">
        <v>393</v>
      </c>
      <c r="H88" t="s">
        <v>40</v>
      </c>
      <c r="I88" t="s">
        <v>40</v>
      </c>
      <c r="J88" t="s">
        <v>40</v>
      </c>
      <c r="K88" t="s">
        <v>40</v>
      </c>
      <c r="L88" t="s">
        <v>40</v>
      </c>
      <c r="M88">
        <v>0</v>
      </c>
      <c r="N88">
        <v>200</v>
      </c>
      <c r="O88">
        <v>2</v>
      </c>
      <c r="P88">
        <v>30</v>
      </c>
      <c r="Q88" t="s">
        <v>77</v>
      </c>
      <c r="R88" t="b">
        <v>0</v>
      </c>
      <c r="S88" t="s">
        <v>59</v>
      </c>
      <c r="T88" s="1" t="s">
        <v>49</v>
      </c>
      <c r="U88" t="s">
        <v>229</v>
      </c>
      <c r="V88" s="2">
        <v>44405.408229155</v>
      </c>
      <c r="W88" t="s">
        <v>40</v>
      </c>
      <c r="X88">
        <v>0</v>
      </c>
      <c r="Y88" t="s">
        <v>40</v>
      </c>
      <c r="Z88" t="s">
        <v>40</v>
      </c>
      <c r="AA88" t="s">
        <v>40</v>
      </c>
      <c r="AB88">
        <v>0</v>
      </c>
      <c r="AC88" t="s">
        <v>49</v>
      </c>
      <c r="AD88" t="s">
        <v>40</v>
      </c>
      <c r="AE88" t="s">
        <v>40</v>
      </c>
      <c r="AF88" t="s">
        <v>40</v>
      </c>
      <c r="AG88" t="s">
        <v>40</v>
      </c>
      <c r="AH88" t="s">
        <v>40</v>
      </c>
      <c r="AI88" t="s">
        <v>40</v>
      </c>
      <c r="AJ88" t="s">
        <v>40</v>
      </c>
      <c r="AK88" t="s">
        <v>40</v>
      </c>
      <c r="AL88" t="s">
        <v>40</v>
      </c>
      <c r="AM88" t="s">
        <v>40</v>
      </c>
    </row>
    <row r="89" spans="1:39" x14ac:dyDescent="0.2">
      <c r="A89" s="4" t="s">
        <v>1485</v>
      </c>
      <c r="B89" s="4" t="s">
        <v>396</v>
      </c>
      <c r="C89" s="4" t="s">
        <v>40</v>
      </c>
      <c r="D89" s="4" t="s">
        <v>40</v>
      </c>
      <c r="E89" s="4" t="s">
        <v>40</v>
      </c>
      <c r="F89" t="s">
        <v>40</v>
      </c>
      <c r="G89" t="s">
        <v>395</v>
      </c>
      <c r="H89" t="s">
        <v>40</v>
      </c>
      <c r="I89" t="s">
        <v>40</v>
      </c>
      <c r="J89" t="s">
        <v>40</v>
      </c>
      <c r="K89" t="s">
        <v>40</v>
      </c>
      <c r="L89" t="s">
        <v>40</v>
      </c>
      <c r="M89">
        <v>0</v>
      </c>
      <c r="N89">
        <v>200</v>
      </c>
      <c r="O89">
        <v>2</v>
      </c>
      <c r="P89">
        <v>30</v>
      </c>
      <c r="Q89" t="s">
        <v>77</v>
      </c>
      <c r="R89" t="b">
        <v>0</v>
      </c>
      <c r="S89" t="s">
        <v>59</v>
      </c>
      <c r="T89" s="1">
        <v>44789</v>
      </c>
      <c r="U89" t="s">
        <v>229</v>
      </c>
      <c r="V89" s="2">
        <v>44405.409201377537</v>
      </c>
      <c r="W89" t="s">
        <v>40</v>
      </c>
      <c r="X89">
        <v>0</v>
      </c>
      <c r="Y89" t="s">
        <v>40</v>
      </c>
      <c r="Z89" t="s">
        <v>40</v>
      </c>
      <c r="AA89" t="s">
        <v>40</v>
      </c>
      <c r="AB89">
        <v>0</v>
      </c>
      <c r="AC89" t="s">
        <v>49</v>
      </c>
      <c r="AD89" t="s">
        <v>40</v>
      </c>
      <c r="AE89" t="s">
        <v>40</v>
      </c>
      <c r="AF89" t="s">
        <v>40</v>
      </c>
      <c r="AG89" t="s">
        <v>40</v>
      </c>
      <c r="AH89" t="s">
        <v>40</v>
      </c>
      <c r="AI89" t="s">
        <v>40</v>
      </c>
      <c r="AJ89" t="s">
        <v>40</v>
      </c>
      <c r="AK89" t="s">
        <v>40</v>
      </c>
      <c r="AL89" t="s">
        <v>40</v>
      </c>
      <c r="AM89" t="s">
        <v>40</v>
      </c>
    </row>
    <row r="90" spans="1:39" x14ac:dyDescent="0.2">
      <c r="A90" s="4" t="s">
        <v>1486</v>
      </c>
      <c r="B90" s="4" t="s">
        <v>398</v>
      </c>
      <c r="C90" s="4" t="s">
        <v>40</v>
      </c>
      <c r="D90" s="4" t="s">
        <v>40</v>
      </c>
      <c r="E90" s="4" t="s">
        <v>40</v>
      </c>
      <c r="F90" t="s">
        <v>40</v>
      </c>
      <c r="G90" t="s">
        <v>397</v>
      </c>
      <c r="H90" t="s">
        <v>288</v>
      </c>
      <c r="I90" t="s">
        <v>40</v>
      </c>
      <c r="J90" t="s">
        <v>40</v>
      </c>
      <c r="K90" t="s">
        <v>40</v>
      </c>
      <c r="L90" t="s">
        <v>40</v>
      </c>
      <c r="M90">
        <v>0</v>
      </c>
      <c r="N90">
        <v>200</v>
      </c>
      <c r="O90">
        <v>2</v>
      </c>
      <c r="P90">
        <v>30</v>
      </c>
      <c r="Q90" t="s">
        <v>77</v>
      </c>
      <c r="R90" t="b">
        <v>0</v>
      </c>
      <c r="S90" t="s">
        <v>59</v>
      </c>
      <c r="T90" s="1" t="s">
        <v>49</v>
      </c>
      <c r="U90" t="s">
        <v>229</v>
      </c>
      <c r="V90" s="2">
        <v>44405.650266191922</v>
      </c>
      <c r="W90" t="s">
        <v>40</v>
      </c>
      <c r="X90">
        <v>0</v>
      </c>
      <c r="Y90" t="s">
        <v>40</v>
      </c>
      <c r="Z90" t="s">
        <v>40</v>
      </c>
      <c r="AA90" t="s">
        <v>40</v>
      </c>
      <c r="AB90">
        <v>0</v>
      </c>
      <c r="AC90" t="s">
        <v>49</v>
      </c>
      <c r="AD90" t="s">
        <v>40</v>
      </c>
      <c r="AE90" t="s">
        <v>40</v>
      </c>
      <c r="AF90" t="s">
        <v>40</v>
      </c>
      <c r="AG90" t="s">
        <v>40</v>
      </c>
      <c r="AH90" t="s">
        <v>40</v>
      </c>
      <c r="AI90" t="s">
        <v>40</v>
      </c>
      <c r="AJ90" t="s">
        <v>40</v>
      </c>
      <c r="AK90" t="s">
        <v>40</v>
      </c>
      <c r="AL90" t="s">
        <v>40</v>
      </c>
      <c r="AM90" t="s">
        <v>40</v>
      </c>
    </row>
    <row r="91" spans="1:39" x14ac:dyDescent="0.2">
      <c r="A91" s="4" t="s">
        <v>1487</v>
      </c>
      <c r="B91" s="4" t="s">
        <v>400</v>
      </c>
      <c r="C91" s="4" t="s">
        <v>40</v>
      </c>
      <c r="D91" s="4" t="s">
        <v>40</v>
      </c>
      <c r="E91" s="4" t="s">
        <v>40</v>
      </c>
      <c r="F91" t="s">
        <v>40</v>
      </c>
      <c r="G91" t="s">
        <v>399</v>
      </c>
      <c r="H91" t="s">
        <v>288</v>
      </c>
      <c r="I91" t="s">
        <v>40</v>
      </c>
      <c r="J91" t="s">
        <v>40</v>
      </c>
      <c r="K91" t="s">
        <v>40</v>
      </c>
      <c r="L91" t="s">
        <v>40</v>
      </c>
      <c r="M91">
        <v>0</v>
      </c>
      <c r="N91">
        <v>200</v>
      </c>
      <c r="O91">
        <v>2</v>
      </c>
      <c r="P91">
        <v>30</v>
      </c>
      <c r="Q91" t="s">
        <v>77</v>
      </c>
      <c r="R91" t="b">
        <v>0</v>
      </c>
      <c r="S91" t="s">
        <v>59</v>
      </c>
      <c r="T91" s="1">
        <v>44728</v>
      </c>
      <c r="U91" t="s">
        <v>229</v>
      </c>
      <c r="V91" s="2">
        <v>44418.370416666847</v>
      </c>
      <c r="W91" t="s">
        <v>40</v>
      </c>
      <c r="X91">
        <v>0</v>
      </c>
      <c r="Y91" t="s">
        <v>40</v>
      </c>
      <c r="Z91" t="s">
        <v>40</v>
      </c>
      <c r="AA91" t="s">
        <v>40</v>
      </c>
      <c r="AB91">
        <v>1</v>
      </c>
      <c r="AC91" t="s">
        <v>49</v>
      </c>
      <c r="AD91" t="s">
        <v>40</v>
      </c>
      <c r="AE91" t="s">
        <v>40</v>
      </c>
      <c r="AF91" t="s">
        <v>40</v>
      </c>
      <c r="AG91" t="s">
        <v>40</v>
      </c>
      <c r="AH91" t="s">
        <v>40</v>
      </c>
      <c r="AI91" t="s">
        <v>40</v>
      </c>
      <c r="AJ91" t="s">
        <v>40</v>
      </c>
      <c r="AK91" t="s">
        <v>40</v>
      </c>
      <c r="AL91" t="s">
        <v>40</v>
      </c>
      <c r="AM91" t="s">
        <v>40</v>
      </c>
    </row>
    <row r="92" spans="1:39" x14ac:dyDescent="0.2">
      <c r="A92" s="4" t="s">
        <v>1488</v>
      </c>
      <c r="B92" s="4" t="s">
        <v>402</v>
      </c>
      <c r="C92" s="4" t="s">
        <v>205</v>
      </c>
      <c r="D92" s="4" t="s">
        <v>40</v>
      </c>
      <c r="E92" s="4" t="s">
        <v>40</v>
      </c>
      <c r="F92" t="s">
        <v>40</v>
      </c>
      <c r="G92" t="s">
        <v>401</v>
      </c>
      <c r="H92" t="s">
        <v>288</v>
      </c>
      <c r="I92" t="s">
        <v>40</v>
      </c>
      <c r="J92" t="s">
        <v>40</v>
      </c>
      <c r="K92" t="s">
        <v>40</v>
      </c>
      <c r="L92" t="s">
        <v>40</v>
      </c>
      <c r="M92">
        <v>14.100000000000001</v>
      </c>
      <c r="N92">
        <v>100</v>
      </c>
      <c r="O92">
        <v>2</v>
      </c>
      <c r="P92">
        <v>30</v>
      </c>
      <c r="Q92" t="s">
        <v>77</v>
      </c>
      <c r="R92" t="b">
        <v>0</v>
      </c>
      <c r="S92" t="s">
        <v>59</v>
      </c>
      <c r="T92" s="1">
        <v>44693</v>
      </c>
      <c r="U92" t="s">
        <v>229</v>
      </c>
      <c r="V92" s="2">
        <v>44418.375104154926</v>
      </c>
      <c r="W92" t="s">
        <v>40</v>
      </c>
      <c r="X92">
        <v>0</v>
      </c>
      <c r="Y92" t="s">
        <v>40</v>
      </c>
      <c r="Z92" t="s">
        <v>40</v>
      </c>
      <c r="AA92" t="s">
        <v>40</v>
      </c>
      <c r="AB92">
        <v>1</v>
      </c>
      <c r="AC92" t="s">
        <v>49</v>
      </c>
      <c r="AD92" t="s">
        <v>40</v>
      </c>
      <c r="AE92" t="s">
        <v>40</v>
      </c>
      <c r="AF92" t="s">
        <v>40</v>
      </c>
      <c r="AG92" t="s">
        <v>40</v>
      </c>
      <c r="AH92" t="s">
        <v>40</v>
      </c>
      <c r="AI92" t="s">
        <v>40</v>
      </c>
      <c r="AJ92" t="s">
        <v>40</v>
      </c>
      <c r="AK92" t="s">
        <v>40</v>
      </c>
      <c r="AL92" t="s">
        <v>40</v>
      </c>
      <c r="AM92" t="s">
        <v>40</v>
      </c>
    </row>
    <row r="93" spans="1:39" x14ac:dyDescent="0.2">
      <c r="A93" s="4" t="s">
        <v>1489</v>
      </c>
      <c r="B93" s="4" t="s">
        <v>404</v>
      </c>
      <c r="C93" s="4" t="s">
        <v>40</v>
      </c>
      <c r="D93" s="4" t="s">
        <v>40</v>
      </c>
      <c r="E93" s="4" t="s">
        <v>40</v>
      </c>
      <c r="F93" t="s">
        <v>40</v>
      </c>
      <c r="G93" t="s">
        <v>403</v>
      </c>
      <c r="H93" t="s">
        <v>40</v>
      </c>
      <c r="I93" t="s">
        <v>40</v>
      </c>
      <c r="J93" t="s">
        <v>40</v>
      </c>
      <c r="K93" t="s">
        <v>40</v>
      </c>
      <c r="L93" t="s">
        <v>40</v>
      </c>
      <c r="M93">
        <v>24.6</v>
      </c>
      <c r="N93">
        <v>50</v>
      </c>
      <c r="O93">
        <v>2</v>
      </c>
      <c r="P93">
        <v>30</v>
      </c>
      <c r="Q93" t="s">
        <v>77</v>
      </c>
      <c r="R93" t="b">
        <v>0</v>
      </c>
      <c r="S93" t="s">
        <v>59</v>
      </c>
      <c r="T93" s="1">
        <v>45239</v>
      </c>
      <c r="U93" t="s">
        <v>229</v>
      </c>
      <c r="V93" s="2">
        <v>44418.38934026612</v>
      </c>
      <c r="W93" t="s">
        <v>40</v>
      </c>
      <c r="X93">
        <v>0</v>
      </c>
      <c r="Y93" t="s">
        <v>40</v>
      </c>
      <c r="Z93" t="s">
        <v>40</v>
      </c>
      <c r="AA93" t="s">
        <v>40</v>
      </c>
      <c r="AB93">
        <v>1</v>
      </c>
      <c r="AC93" t="s">
        <v>49</v>
      </c>
      <c r="AD93" t="s">
        <v>40</v>
      </c>
      <c r="AE93" t="s">
        <v>40</v>
      </c>
      <c r="AF93" t="s">
        <v>40</v>
      </c>
      <c r="AG93" t="s">
        <v>40</v>
      </c>
      <c r="AH93" t="s">
        <v>40</v>
      </c>
      <c r="AI93" t="s">
        <v>40</v>
      </c>
      <c r="AJ93" t="s">
        <v>40</v>
      </c>
      <c r="AK93" t="s">
        <v>40</v>
      </c>
      <c r="AL93" t="s">
        <v>40</v>
      </c>
      <c r="AM93" t="s">
        <v>40</v>
      </c>
    </row>
    <row r="94" spans="1:39" x14ac:dyDescent="0.2">
      <c r="A94" s="4" t="s">
        <v>1490</v>
      </c>
      <c r="B94" s="4" t="s">
        <v>385</v>
      </c>
      <c r="C94" s="4" t="s">
        <v>406</v>
      </c>
      <c r="D94" s="4" t="s">
        <v>40</v>
      </c>
      <c r="E94" s="4" t="s">
        <v>40</v>
      </c>
      <c r="F94" t="s">
        <v>40</v>
      </c>
      <c r="G94" t="s">
        <v>405</v>
      </c>
      <c r="H94" t="s">
        <v>40</v>
      </c>
      <c r="I94" t="s">
        <v>40</v>
      </c>
      <c r="J94" t="s">
        <v>40</v>
      </c>
      <c r="K94" t="s">
        <v>40</v>
      </c>
      <c r="L94" t="s">
        <v>40</v>
      </c>
      <c r="M94">
        <v>0</v>
      </c>
      <c r="N94">
        <v>200</v>
      </c>
      <c r="O94">
        <v>2</v>
      </c>
      <c r="P94">
        <v>30</v>
      </c>
      <c r="Q94" t="s">
        <v>77</v>
      </c>
      <c r="R94" t="b">
        <v>0</v>
      </c>
      <c r="S94" t="s">
        <v>59</v>
      </c>
      <c r="T94" s="1" t="s">
        <v>49</v>
      </c>
      <c r="U94" t="s">
        <v>229</v>
      </c>
      <c r="V94" s="2">
        <v>44419.474895833526</v>
      </c>
      <c r="W94" t="s">
        <v>40</v>
      </c>
      <c r="X94">
        <v>0</v>
      </c>
      <c r="Y94" t="s">
        <v>40</v>
      </c>
      <c r="Z94" t="s">
        <v>40</v>
      </c>
      <c r="AA94" t="s">
        <v>40</v>
      </c>
      <c r="AB94">
        <v>1</v>
      </c>
      <c r="AC94" t="s">
        <v>49</v>
      </c>
      <c r="AD94" t="s">
        <v>40</v>
      </c>
      <c r="AE94" t="s">
        <v>40</v>
      </c>
      <c r="AF94" t="s">
        <v>40</v>
      </c>
      <c r="AG94" t="s">
        <v>40</v>
      </c>
      <c r="AH94" t="s">
        <v>40</v>
      </c>
      <c r="AI94" t="s">
        <v>40</v>
      </c>
      <c r="AJ94" t="s">
        <v>40</v>
      </c>
      <c r="AK94" t="s">
        <v>40</v>
      </c>
      <c r="AL94" t="s">
        <v>40</v>
      </c>
      <c r="AM94" t="s">
        <v>40</v>
      </c>
    </row>
    <row r="95" spans="1:39" x14ac:dyDescent="0.2">
      <c r="A95" s="4" t="s">
        <v>1491</v>
      </c>
      <c r="B95" s="4" t="s">
        <v>407</v>
      </c>
      <c r="C95" s="4" t="s">
        <v>1735</v>
      </c>
      <c r="D95" s="4" t="s">
        <v>335</v>
      </c>
      <c r="E95" s="4" t="s">
        <v>336</v>
      </c>
      <c r="F95" t="s">
        <v>408</v>
      </c>
      <c r="G95" t="s">
        <v>409</v>
      </c>
      <c r="H95" t="s">
        <v>410</v>
      </c>
      <c r="I95" t="s">
        <v>40</v>
      </c>
      <c r="J95" t="s">
        <v>40</v>
      </c>
      <c r="K95" t="s">
        <v>40</v>
      </c>
      <c r="L95" t="s">
        <v>40</v>
      </c>
      <c r="M95">
        <v>-14.71</v>
      </c>
      <c r="N95">
        <v>200</v>
      </c>
      <c r="O95">
        <v>1</v>
      </c>
      <c r="P95">
        <v>0</v>
      </c>
      <c r="Q95" t="s">
        <v>77</v>
      </c>
      <c r="R95" t="b">
        <v>0</v>
      </c>
      <c r="S95" t="s">
        <v>46</v>
      </c>
      <c r="T95" s="1">
        <v>45059</v>
      </c>
      <c r="U95" t="s">
        <v>229</v>
      </c>
      <c r="V95" s="2">
        <v>44420.412465266418</v>
      </c>
      <c r="W95" t="s">
        <v>40</v>
      </c>
      <c r="X95">
        <v>0</v>
      </c>
      <c r="Y95" t="s">
        <v>40</v>
      </c>
      <c r="Z95" t="s">
        <v>40</v>
      </c>
      <c r="AA95" t="s">
        <v>40</v>
      </c>
      <c r="AB95">
        <v>2</v>
      </c>
      <c r="AC95" t="s">
        <v>49</v>
      </c>
      <c r="AD95" t="s">
        <v>40</v>
      </c>
      <c r="AE95" t="s">
        <v>40</v>
      </c>
      <c r="AF95" t="s">
        <v>40</v>
      </c>
      <c r="AG95" t="s">
        <v>40</v>
      </c>
      <c r="AH95" t="s">
        <v>40</v>
      </c>
      <c r="AI95" t="s">
        <v>40</v>
      </c>
      <c r="AJ95" t="s">
        <v>40</v>
      </c>
      <c r="AK95" t="s">
        <v>40</v>
      </c>
      <c r="AL95" t="s">
        <v>40</v>
      </c>
      <c r="AM95" t="s">
        <v>40</v>
      </c>
    </row>
    <row r="96" spans="1:39" x14ac:dyDescent="0.2">
      <c r="A96" s="4" t="s">
        <v>1492</v>
      </c>
      <c r="B96" s="4" t="s">
        <v>411</v>
      </c>
      <c r="C96" s="4" t="s">
        <v>40</v>
      </c>
      <c r="D96" s="4" t="s">
        <v>40</v>
      </c>
      <c r="E96" s="4" t="s">
        <v>40</v>
      </c>
      <c r="F96" t="s">
        <v>40</v>
      </c>
      <c r="G96" t="s">
        <v>412</v>
      </c>
      <c r="H96" t="s">
        <v>40</v>
      </c>
      <c r="I96" t="s">
        <v>40</v>
      </c>
      <c r="J96" t="s">
        <v>40</v>
      </c>
      <c r="K96" t="s">
        <v>40</v>
      </c>
      <c r="L96" t="s">
        <v>40</v>
      </c>
      <c r="M96">
        <v>19.990000000000002</v>
      </c>
      <c r="N96">
        <v>200</v>
      </c>
      <c r="O96">
        <v>2</v>
      </c>
      <c r="P96">
        <v>30</v>
      </c>
      <c r="Q96" t="s">
        <v>77</v>
      </c>
      <c r="R96" t="b">
        <v>0</v>
      </c>
      <c r="S96" t="s">
        <v>59</v>
      </c>
      <c r="T96" s="1" t="s">
        <v>49</v>
      </c>
      <c r="U96" t="s">
        <v>229</v>
      </c>
      <c r="V96" s="2">
        <v>44425.457893518731</v>
      </c>
      <c r="W96" t="s">
        <v>413</v>
      </c>
      <c r="X96">
        <v>0</v>
      </c>
      <c r="Y96" t="s">
        <v>40</v>
      </c>
      <c r="Z96" t="s">
        <v>40</v>
      </c>
      <c r="AA96" t="s">
        <v>40</v>
      </c>
      <c r="AB96">
        <v>1</v>
      </c>
      <c r="AC96" t="s">
        <v>49</v>
      </c>
      <c r="AD96" t="s">
        <v>40</v>
      </c>
      <c r="AE96" t="s">
        <v>40</v>
      </c>
      <c r="AF96" t="s">
        <v>40</v>
      </c>
      <c r="AG96" t="s">
        <v>40</v>
      </c>
      <c r="AH96" t="s">
        <v>40</v>
      </c>
      <c r="AI96" t="s">
        <v>40</v>
      </c>
      <c r="AJ96" t="s">
        <v>40</v>
      </c>
      <c r="AK96" t="s">
        <v>40</v>
      </c>
      <c r="AL96" t="s">
        <v>40</v>
      </c>
      <c r="AM96" t="s">
        <v>40</v>
      </c>
    </row>
    <row r="97" spans="1:39" x14ac:dyDescent="0.2">
      <c r="A97" s="4" t="s">
        <v>1493</v>
      </c>
      <c r="B97" s="4" t="s">
        <v>415</v>
      </c>
      <c r="C97" s="4" t="s">
        <v>1736</v>
      </c>
      <c r="D97" s="4" t="s">
        <v>40</v>
      </c>
      <c r="E97" s="4" t="s">
        <v>40</v>
      </c>
      <c r="F97" t="s">
        <v>40</v>
      </c>
      <c r="G97" t="s">
        <v>414</v>
      </c>
      <c r="H97" t="s">
        <v>288</v>
      </c>
      <c r="I97" t="s">
        <v>40</v>
      </c>
      <c r="J97" t="s">
        <v>40</v>
      </c>
      <c r="K97" t="s">
        <v>40</v>
      </c>
      <c r="L97" t="s">
        <v>40</v>
      </c>
      <c r="M97">
        <v>0</v>
      </c>
      <c r="N97">
        <v>20</v>
      </c>
      <c r="O97">
        <v>2</v>
      </c>
      <c r="P97">
        <v>30</v>
      </c>
      <c r="Q97" t="s">
        <v>77</v>
      </c>
      <c r="R97" t="b">
        <v>0</v>
      </c>
      <c r="S97" t="s">
        <v>59</v>
      </c>
      <c r="T97" s="1" t="s">
        <v>49</v>
      </c>
      <c r="U97" t="s">
        <v>229</v>
      </c>
      <c r="V97" s="2">
        <v>44426.449803228956</v>
      </c>
      <c r="W97" t="s">
        <v>40</v>
      </c>
      <c r="X97">
        <v>0</v>
      </c>
      <c r="Y97" t="s">
        <v>40</v>
      </c>
      <c r="Z97" t="s">
        <v>40</v>
      </c>
      <c r="AA97" t="s">
        <v>40</v>
      </c>
      <c r="AB97">
        <v>1</v>
      </c>
      <c r="AC97" t="s">
        <v>49</v>
      </c>
      <c r="AD97" t="s">
        <v>40</v>
      </c>
      <c r="AE97" t="s">
        <v>40</v>
      </c>
      <c r="AF97" t="s">
        <v>40</v>
      </c>
      <c r="AG97" t="s">
        <v>40</v>
      </c>
      <c r="AH97" t="s">
        <v>40</v>
      </c>
      <c r="AI97" t="s">
        <v>40</v>
      </c>
      <c r="AJ97" t="s">
        <v>40</v>
      </c>
      <c r="AK97" t="s">
        <v>40</v>
      </c>
      <c r="AL97" t="s">
        <v>40</v>
      </c>
      <c r="AM97" t="s">
        <v>40</v>
      </c>
    </row>
    <row r="98" spans="1:39" x14ac:dyDescent="0.2">
      <c r="A98" s="4" t="s">
        <v>1494</v>
      </c>
      <c r="B98" s="4" t="s">
        <v>1580</v>
      </c>
      <c r="C98" s="4" t="s">
        <v>1737</v>
      </c>
      <c r="D98" s="4" t="s">
        <v>51</v>
      </c>
      <c r="E98" s="4" t="s">
        <v>51</v>
      </c>
      <c r="F98" t="s">
        <v>416</v>
      </c>
      <c r="G98" t="s">
        <v>417</v>
      </c>
      <c r="H98" t="s">
        <v>418</v>
      </c>
      <c r="I98" t="s">
        <v>40</v>
      </c>
      <c r="J98" t="s">
        <v>40</v>
      </c>
      <c r="K98" t="s">
        <v>40</v>
      </c>
      <c r="L98" t="s">
        <v>40</v>
      </c>
      <c r="M98">
        <v>0</v>
      </c>
      <c r="N98">
        <v>200</v>
      </c>
      <c r="O98">
        <v>1</v>
      </c>
      <c r="P98">
        <v>0</v>
      </c>
      <c r="Q98" t="s">
        <v>77</v>
      </c>
      <c r="R98" t="b">
        <v>0</v>
      </c>
      <c r="S98" t="s">
        <v>87</v>
      </c>
      <c r="T98" s="1">
        <v>44955</v>
      </c>
      <c r="U98" t="s">
        <v>229</v>
      </c>
      <c r="V98" s="2">
        <v>44426.457800914533</v>
      </c>
      <c r="W98" t="s">
        <v>40</v>
      </c>
      <c r="X98">
        <v>0</v>
      </c>
      <c r="Y98" t="s">
        <v>40</v>
      </c>
      <c r="Z98" t="s">
        <v>40</v>
      </c>
      <c r="AA98" t="s">
        <v>40</v>
      </c>
      <c r="AB98">
        <v>2</v>
      </c>
      <c r="AC98" t="s">
        <v>49</v>
      </c>
      <c r="AD98" t="s">
        <v>40</v>
      </c>
      <c r="AE98" t="s">
        <v>40</v>
      </c>
      <c r="AF98" t="s">
        <v>40</v>
      </c>
      <c r="AG98" t="s">
        <v>40</v>
      </c>
      <c r="AH98" t="s">
        <v>40</v>
      </c>
      <c r="AI98" t="s">
        <v>40</v>
      </c>
      <c r="AJ98" t="s">
        <v>46</v>
      </c>
      <c r="AK98" t="s">
        <v>419</v>
      </c>
      <c r="AL98" t="s">
        <v>420</v>
      </c>
      <c r="AM98" t="s">
        <v>421</v>
      </c>
    </row>
    <row r="99" spans="1:39" x14ac:dyDescent="0.2">
      <c r="A99" s="4" t="s">
        <v>1495</v>
      </c>
      <c r="B99" s="4" t="s">
        <v>1581</v>
      </c>
      <c r="C99" s="4" t="s">
        <v>1738</v>
      </c>
      <c r="D99" s="4" t="s">
        <v>422</v>
      </c>
      <c r="E99" s="4" t="s">
        <v>336</v>
      </c>
      <c r="F99" t="s">
        <v>40</v>
      </c>
      <c r="G99" t="s">
        <v>423</v>
      </c>
      <c r="H99" t="s">
        <v>424</v>
      </c>
      <c r="I99" t="s">
        <v>40</v>
      </c>
      <c r="J99" t="s">
        <v>40</v>
      </c>
      <c r="K99" t="s">
        <v>40</v>
      </c>
      <c r="L99" t="s">
        <v>40</v>
      </c>
      <c r="M99">
        <v>7.0500000000000007</v>
      </c>
      <c r="N99">
        <v>200</v>
      </c>
      <c r="O99">
        <v>1</v>
      </c>
      <c r="P99">
        <v>0</v>
      </c>
      <c r="Q99" t="s">
        <v>77</v>
      </c>
      <c r="R99" t="b">
        <v>0</v>
      </c>
      <c r="S99" t="s">
        <v>46</v>
      </c>
      <c r="T99" s="1">
        <v>45107</v>
      </c>
      <c r="U99" t="s">
        <v>229</v>
      </c>
      <c r="V99" s="2">
        <v>44439.394918969832</v>
      </c>
      <c r="W99" t="s">
        <v>40</v>
      </c>
      <c r="X99">
        <v>0</v>
      </c>
      <c r="Y99" t="s">
        <v>40</v>
      </c>
      <c r="Z99" t="s">
        <v>40</v>
      </c>
      <c r="AA99" t="s">
        <v>40</v>
      </c>
      <c r="AB99">
        <v>2</v>
      </c>
      <c r="AC99" t="s">
        <v>49</v>
      </c>
      <c r="AD99" t="s">
        <v>40</v>
      </c>
      <c r="AE99" t="s">
        <v>40</v>
      </c>
      <c r="AF99" t="s">
        <v>40</v>
      </c>
      <c r="AG99" t="s">
        <v>40</v>
      </c>
      <c r="AH99" t="s">
        <v>40</v>
      </c>
      <c r="AI99" t="s">
        <v>40</v>
      </c>
      <c r="AJ99" t="s">
        <v>40</v>
      </c>
      <c r="AK99" t="s">
        <v>40</v>
      </c>
      <c r="AL99" t="s">
        <v>40</v>
      </c>
      <c r="AM99" t="s">
        <v>40</v>
      </c>
    </row>
    <row r="100" spans="1:39" x14ac:dyDescent="0.2">
      <c r="A100" s="4" t="s">
        <v>1496</v>
      </c>
      <c r="B100" s="4" t="s">
        <v>1582</v>
      </c>
      <c r="C100" s="4" t="s">
        <v>1739</v>
      </c>
      <c r="D100" s="4" t="s">
        <v>225</v>
      </c>
      <c r="E100" s="4" t="s">
        <v>225</v>
      </c>
      <c r="F100" t="s">
        <v>425</v>
      </c>
      <c r="G100" t="s">
        <v>426</v>
      </c>
      <c r="H100" t="s">
        <v>427</v>
      </c>
      <c r="I100" t="s">
        <v>40</v>
      </c>
      <c r="J100" t="s">
        <v>40</v>
      </c>
      <c r="K100" t="s">
        <v>40</v>
      </c>
      <c r="L100" t="s">
        <v>40</v>
      </c>
      <c r="M100">
        <v>4.9000000000000004</v>
      </c>
      <c r="N100">
        <v>200</v>
      </c>
      <c r="O100">
        <v>2</v>
      </c>
      <c r="P100">
        <v>30</v>
      </c>
      <c r="Q100" t="s">
        <v>77</v>
      </c>
      <c r="R100" t="b">
        <v>0</v>
      </c>
      <c r="S100" t="s">
        <v>46</v>
      </c>
      <c r="T100" s="1">
        <v>44956</v>
      </c>
      <c r="U100" t="s">
        <v>229</v>
      </c>
      <c r="V100" s="2">
        <v>44440.590069432743</v>
      </c>
      <c r="W100" t="s">
        <v>40</v>
      </c>
      <c r="X100">
        <v>0</v>
      </c>
      <c r="Y100" t="s">
        <v>40</v>
      </c>
      <c r="Z100" t="s">
        <v>40</v>
      </c>
      <c r="AA100" t="s">
        <v>40</v>
      </c>
      <c r="AB100">
        <v>2</v>
      </c>
      <c r="AC100" t="s">
        <v>49</v>
      </c>
      <c r="AD100" t="s">
        <v>40</v>
      </c>
      <c r="AE100" t="s">
        <v>40</v>
      </c>
      <c r="AF100" t="s">
        <v>40</v>
      </c>
      <c r="AG100" t="s">
        <v>40</v>
      </c>
      <c r="AH100" t="s">
        <v>40</v>
      </c>
      <c r="AI100" t="s">
        <v>40</v>
      </c>
      <c r="AJ100" t="s">
        <v>40</v>
      </c>
      <c r="AK100" t="s">
        <v>40</v>
      </c>
      <c r="AL100" t="s">
        <v>40</v>
      </c>
      <c r="AM100" t="s">
        <v>40</v>
      </c>
    </row>
    <row r="101" spans="1:39" x14ac:dyDescent="0.2">
      <c r="A101" s="4" t="s">
        <v>1497</v>
      </c>
      <c r="B101" s="4" t="s">
        <v>428</v>
      </c>
      <c r="C101" s="4" t="s">
        <v>429</v>
      </c>
      <c r="D101" s="4" t="s">
        <v>40</v>
      </c>
      <c r="E101" s="4" t="s">
        <v>40</v>
      </c>
      <c r="F101" t="s">
        <v>430</v>
      </c>
      <c r="G101" t="s">
        <v>431</v>
      </c>
      <c r="H101" t="s">
        <v>432</v>
      </c>
      <c r="I101" t="s">
        <v>40</v>
      </c>
      <c r="J101" t="s">
        <v>40</v>
      </c>
      <c r="K101" t="s">
        <v>40</v>
      </c>
      <c r="L101" t="s">
        <v>40</v>
      </c>
      <c r="M101">
        <v>0</v>
      </c>
      <c r="N101">
        <v>200</v>
      </c>
      <c r="O101">
        <v>2</v>
      </c>
      <c r="P101">
        <v>30</v>
      </c>
      <c r="Q101" t="s">
        <v>77</v>
      </c>
      <c r="R101" t="b">
        <v>0</v>
      </c>
      <c r="S101" t="s">
        <v>59</v>
      </c>
      <c r="T101" s="1" t="s">
        <v>49</v>
      </c>
      <c r="U101" t="s">
        <v>229</v>
      </c>
      <c r="V101" s="2">
        <v>44440.591805543751</v>
      </c>
      <c r="W101" t="s">
        <v>40</v>
      </c>
      <c r="X101">
        <v>0</v>
      </c>
      <c r="Y101" t="s">
        <v>40</v>
      </c>
      <c r="Z101" t="s">
        <v>40</v>
      </c>
      <c r="AA101" t="s">
        <v>40</v>
      </c>
      <c r="AB101">
        <v>2</v>
      </c>
      <c r="AC101" t="s">
        <v>49</v>
      </c>
      <c r="AD101" t="s">
        <v>40</v>
      </c>
      <c r="AE101" t="s">
        <v>40</v>
      </c>
      <c r="AF101" t="s">
        <v>40</v>
      </c>
      <c r="AG101" t="s">
        <v>40</v>
      </c>
      <c r="AH101" t="s">
        <v>40</v>
      </c>
      <c r="AI101" t="s">
        <v>40</v>
      </c>
      <c r="AJ101" t="s">
        <v>40</v>
      </c>
      <c r="AK101" t="s">
        <v>40</v>
      </c>
      <c r="AL101" t="s">
        <v>40</v>
      </c>
      <c r="AM101" t="s">
        <v>40</v>
      </c>
    </row>
    <row r="102" spans="1:39" x14ac:dyDescent="0.2">
      <c r="A102" s="4" t="s">
        <v>433</v>
      </c>
      <c r="B102" s="4" t="s">
        <v>1583</v>
      </c>
      <c r="C102" s="4" t="s">
        <v>1740</v>
      </c>
      <c r="D102" s="4" t="s">
        <v>225</v>
      </c>
      <c r="E102" s="4" t="s">
        <v>225</v>
      </c>
      <c r="F102" t="s">
        <v>434</v>
      </c>
      <c r="G102" t="s">
        <v>244</v>
      </c>
      <c r="H102" t="s">
        <v>245</v>
      </c>
      <c r="I102" t="s">
        <v>40</v>
      </c>
      <c r="J102" t="s">
        <v>40</v>
      </c>
      <c r="K102" t="s">
        <v>40</v>
      </c>
      <c r="L102" t="s">
        <v>40</v>
      </c>
      <c r="M102">
        <v>29.450000000000003</v>
      </c>
      <c r="N102">
        <v>500</v>
      </c>
      <c r="O102">
        <v>1</v>
      </c>
      <c r="P102">
        <v>0</v>
      </c>
      <c r="Q102" t="s">
        <v>77</v>
      </c>
      <c r="R102" t="b">
        <v>0</v>
      </c>
      <c r="S102" t="s">
        <v>46</v>
      </c>
      <c r="T102" s="1">
        <v>44953</v>
      </c>
      <c r="U102" t="s">
        <v>229</v>
      </c>
      <c r="V102" s="2">
        <v>44448.69435185194</v>
      </c>
      <c r="W102" t="s">
        <v>40</v>
      </c>
      <c r="X102">
        <v>0</v>
      </c>
      <c r="Y102" t="s">
        <v>40</v>
      </c>
      <c r="Z102" t="s">
        <v>40</v>
      </c>
      <c r="AA102" t="s">
        <v>40</v>
      </c>
      <c r="AB102">
        <v>2</v>
      </c>
      <c r="AC102" t="s">
        <v>49</v>
      </c>
      <c r="AD102" t="s">
        <v>40</v>
      </c>
      <c r="AE102" t="s">
        <v>40</v>
      </c>
      <c r="AF102" t="s">
        <v>40</v>
      </c>
      <c r="AG102" t="s">
        <v>40</v>
      </c>
      <c r="AH102" t="s">
        <v>40</v>
      </c>
      <c r="AI102" t="s">
        <v>40</v>
      </c>
      <c r="AJ102" t="s">
        <v>40</v>
      </c>
      <c r="AK102" t="s">
        <v>40</v>
      </c>
      <c r="AL102" t="s">
        <v>40</v>
      </c>
      <c r="AM102" t="s">
        <v>40</v>
      </c>
    </row>
    <row r="103" spans="1:39" x14ac:dyDescent="0.2">
      <c r="A103" s="4" t="s">
        <v>435</v>
      </c>
      <c r="B103" s="4" t="s">
        <v>436</v>
      </c>
      <c r="C103" s="4" t="s">
        <v>1741</v>
      </c>
      <c r="D103" s="4" t="s">
        <v>437</v>
      </c>
      <c r="E103" s="4" t="s">
        <v>51</v>
      </c>
      <c r="F103" t="s">
        <v>163</v>
      </c>
      <c r="G103" t="s">
        <v>438</v>
      </c>
      <c r="H103" t="s">
        <v>439</v>
      </c>
      <c r="I103" t="s">
        <v>40</v>
      </c>
      <c r="J103" t="s">
        <v>40</v>
      </c>
      <c r="K103" t="s">
        <v>40</v>
      </c>
      <c r="L103" t="s">
        <v>40</v>
      </c>
      <c r="M103">
        <v>0</v>
      </c>
      <c r="N103">
        <v>100</v>
      </c>
      <c r="O103">
        <v>2</v>
      </c>
      <c r="P103">
        <v>30</v>
      </c>
      <c r="Q103" t="s">
        <v>77</v>
      </c>
      <c r="R103" t="b">
        <v>0</v>
      </c>
      <c r="S103" t="s">
        <v>59</v>
      </c>
      <c r="T103" s="1">
        <v>44638</v>
      </c>
      <c r="U103" t="s">
        <v>229</v>
      </c>
      <c r="V103" s="2">
        <v>44448.703125</v>
      </c>
      <c r="W103" t="s">
        <v>40</v>
      </c>
      <c r="X103">
        <v>0</v>
      </c>
      <c r="Y103" t="s">
        <v>40</v>
      </c>
      <c r="Z103" t="s">
        <v>40</v>
      </c>
      <c r="AA103" t="s">
        <v>40</v>
      </c>
      <c r="AB103">
        <v>1</v>
      </c>
      <c r="AC103" t="s">
        <v>49</v>
      </c>
      <c r="AD103" t="s">
        <v>40</v>
      </c>
      <c r="AE103" t="s">
        <v>40</v>
      </c>
      <c r="AF103" t="s">
        <v>40</v>
      </c>
      <c r="AG103" t="s">
        <v>40</v>
      </c>
      <c r="AH103" t="s">
        <v>40</v>
      </c>
      <c r="AI103" t="s">
        <v>40</v>
      </c>
      <c r="AJ103" t="s">
        <v>40</v>
      </c>
      <c r="AK103" t="s">
        <v>40</v>
      </c>
      <c r="AL103" t="s">
        <v>40</v>
      </c>
      <c r="AM103" t="s">
        <v>40</v>
      </c>
    </row>
    <row r="104" spans="1:39" x14ac:dyDescent="0.2">
      <c r="A104" s="4" t="s">
        <v>440</v>
      </c>
      <c r="B104" s="4" t="s">
        <v>1584</v>
      </c>
      <c r="C104" s="4" t="s">
        <v>1742</v>
      </c>
      <c r="D104" s="4" t="s">
        <v>62</v>
      </c>
      <c r="E104" s="4" t="s">
        <v>51</v>
      </c>
      <c r="F104" t="s">
        <v>441</v>
      </c>
      <c r="G104" t="s">
        <v>442</v>
      </c>
      <c r="H104" t="s">
        <v>443</v>
      </c>
      <c r="I104" t="s">
        <v>40</v>
      </c>
      <c r="J104" t="s">
        <v>40</v>
      </c>
      <c r="K104" t="s">
        <v>40</v>
      </c>
      <c r="L104" t="s">
        <v>40</v>
      </c>
      <c r="M104">
        <v>0</v>
      </c>
      <c r="N104">
        <v>200</v>
      </c>
      <c r="O104">
        <v>2</v>
      </c>
      <c r="P104">
        <v>30</v>
      </c>
      <c r="Q104" t="s">
        <v>77</v>
      </c>
      <c r="R104" t="b">
        <v>0</v>
      </c>
      <c r="S104" t="s">
        <v>444</v>
      </c>
      <c r="T104" s="1" t="s">
        <v>49</v>
      </c>
      <c r="U104" t="s">
        <v>229</v>
      </c>
      <c r="V104" s="2">
        <v>44448.708148148376</v>
      </c>
      <c r="W104" t="s">
        <v>40</v>
      </c>
      <c r="X104">
        <v>0</v>
      </c>
      <c r="Y104" t="s">
        <v>40</v>
      </c>
      <c r="Z104" t="s">
        <v>40</v>
      </c>
      <c r="AA104" t="s">
        <v>40</v>
      </c>
      <c r="AB104">
        <v>2</v>
      </c>
      <c r="AC104" t="s">
        <v>49</v>
      </c>
      <c r="AD104" t="s">
        <v>40</v>
      </c>
      <c r="AE104" t="s">
        <v>40</v>
      </c>
      <c r="AF104" t="s">
        <v>40</v>
      </c>
      <c r="AG104" t="s">
        <v>40</v>
      </c>
      <c r="AH104" t="s">
        <v>40</v>
      </c>
      <c r="AI104" t="s">
        <v>40</v>
      </c>
      <c r="AJ104" t="s">
        <v>40</v>
      </c>
      <c r="AK104" t="s">
        <v>40</v>
      </c>
      <c r="AL104" t="s">
        <v>40</v>
      </c>
      <c r="AM104" t="s">
        <v>40</v>
      </c>
    </row>
    <row r="105" spans="1:39" x14ac:dyDescent="0.2">
      <c r="A105" s="7" t="s">
        <v>445</v>
      </c>
      <c r="B105" s="4" t="s">
        <v>446</v>
      </c>
      <c r="C105" s="4" t="s">
        <v>1743</v>
      </c>
      <c r="D105" s="4" t="s">
        <v>225</v>
      </c>
      <c r="E105" s="4" t="s">
        <v>225</v>
      </c>
      <c r="F105" t="s">
        <v>40</v>
      </c>
      <c r="G105" t="s">
        <v>447</v>
      </c>
      <c r="H105" t="s">
        <v>448</v>
      </c>
      <c r="I105" t="s">
        <v>40</v>
      </c>
      <c r="J105" t="s">
        <v>40</v>
      </c>
      <c r="K105" t="s">
        <v>40</v>
      </c>
      <c r="L105" t="s">
        <v>40</v>
      </c>
      <c r="M105">
        <v>7.0500000000000007</v>
      </c>
      <c r="N105">
        <v>200</v>
      </c>
      <c r="O105">
        <v>1</v>
      </c>
      <c r="P105">
        <v>0</v>
      </c>
      <c r="Q105" t="s">
        <v>77</v>
      </c>
      <c r="R105" t="b">
        <v>0</v>
      </c>
      <c r="S105" t="s">
        <v>46</v>
      </c>
      <c r="T105" s="1">
        <v>44952</v>
      </c>
      <c r="U105" t="s">
        <v>229</v>
      </c>
      <c r="V105" s="2">
        <v>44452.38460648153</v>
      </c>
      <c r="W105" t="s">
        <v>40</v>
      </c>
      <c r="X105">
        <v>0</v>
      </c>
      <c r="Y105" t="s">
        <v>40</v>
      </c>
      <c r="Z105" t="s">
        <v>40</v>
      </c>
      <c r="AA105" t="s">
        <v>40</v>
      </c>
      <c r="AB105">
        <v>1</v>
      </c>
      <c r="AC105" t="s">
        <v>49</v>
      </c>
      <c r="AD105" t="s">
        <v>40</v>
      </c>
      <c r="AE105" t="s">
        <v>40</v>
      </c>
      <c r="AF105" t="s">
        <v>40</v>
      </c>
      <c r="AG105" t="s">
        <v>40</v>
      </c>
      <c r="AH105" t="s">
        <v>40</v>
      </c>
      <c r="AI105" t="s">
        <v>40</v>
      </c>
      <c r="AJ105" t="s">
        <v>40</v>
      </c>
      <c r="AK105" t="s">
        <v>40</v>
      </c>
      <c r="AL105" t="s">
        <v>40</v>
      </c>
      <c r="AM105" t="s">
        <v>40</v>
      </c>
    </row>
    <row r="106" spans="1:39" x14ac:dyDescent="0.2">
      <c r="A106" s="4" t="s">
        <v>449</v>
      </c>
      <c r="B106" s="4" t="s">
        <v>450</v>
      </c>
      <c r="C106" s="4" t="s">
        <v>451</v>
      </c>
      <c r="D106" s="4" t="s">
        <v>40</v>
      </c>
      <c r="E106" s="4" t="s">
        <v>40</v>
      </c>
      <c r="F106" t="s">
        <v>40</v>
      </c>
      <c r="G106" t="s">
        <v>449</v>
      </c>
      <c r="H106" t="s">
        <v>288</v>
      </c>
      <c r="I106" t="s">
        <v>40</v>
      </c>
      <c r="J106" t="s">
        <v>40</v>
      </c>
      <c r="K106" t="s">
        <v>40</v>
      </c>
      <c r="L106" t="s">
        <v>40</v>
      </c>
      <c r="M106">
        <v>14.100000000000001</v>
      </c>
      <c r="N106">
        <v>200</v>
      </c>
      <c r="O106">
        <v>2</v>
      </c>
      <c r="P106">
        <v>30</v>
      </c>
      <c r="Q106" t="s">
        <v>77</v>
      </c>
      <c r="R106" t="b">
        <v>0</v>
      </c>
      <c r="S106" t="s">
        <v>444</v>
      </c>
      <c r="T106" s="1" t="s">
        <v>49</v>
      </c>
      <c r="U106" t="s">
        <v>229</v>
      </c>
      <c r="V106" s="2">
        <v>44453.717025463004</v>
      </c>
      <c r="W106" t="s">
        <v>40</v>
      </c>
      <c r="X106">
        <v>0</v>
      </c>
      <c r="Y106" t="s">
        <v>40</v>
      </c>
      <c r="Z106" t="s">
        <v>40</v>
      </c>
      <c r="AA106" t="s">
        <v>40</v>
      </c>
      <c r="AB106">
        <v>1</v>
      </c>
      <c r="AC106" t="s">
        <v>49</v>
      </c>
      <c r="AD106" t="s">
        <v>40</v>
      </c>
      <c r="AE106" t="s">
        <v>40</v>
      </c>
      <c r="AF106" t="s">
        <v>40</v>
      </c>
      <c r="AG106" t="s">
        <v>40</v>
      </c>
      <c r="AH106" t="s">
        <v>40</v>
      </c>
      <c r="AI106" t="s">
        <v>40</v>
      </c>
      <c r="AJ106" t="s">
        <v>40</v>
      </c>
      <c r="AK106" t="s">
        <v>40</v>
      </c>
      <c r="AL106" t="s">
        <v>40</v>
      </c>
      <c r="AM106" t="s">
        <v>40</v>
      </c>
    </row>
    <row r="107" spans="1:39" x14ac:dyDescent="0.2">
      <c r="A107" s="4" t="s">
        <v>452</v>
      </c>
      <c r="B107" s="4" t="s">
        <v>453</v>
      </c>
      <c r="C107" s="4" t="s">
        <v>1744</v>
      </c>
      <c r="D107" s="4" t="s">
        <v>51</v>
      </c>
      <c r="E107" s="4" t="s">
        <v>51</v>
      </c>
      <c r="F107" t="s">
        <v>40</v>
      </c>
      <c r="G107" t="s">
        <v>454</v>
      </c>
      <c r="H107" t="s">
        <v>455</v>
      </c>
      <c r="I107" t="s">
        <v>40</v>
      </c>
      <c r="J107" t="s">
        <v>40</v>
      </c>
      <c r="K107" t="s">
        <v>40</v>
      </c>
      <c r="L107" t="s">
        <v>40</v>
      </c>
      <c r="M107">
        <v>0</v>
      </c>
      <c r="N107">
        <v>200</v>
      </c>
      <c r="O107">
        <v>2</v>
      </c>
      <c r="P107">
        <v>30</v>
      </c>
      <c r="Q107" t="s">
        <v>77</v>
      </c>
      <c r="R107" t="b">
        <v>0</v>
      </c>
      <c r="S107" t="s">
        <v>444</v>
      </c>
      <c r="T107" s="1" t="s">
        <v>49</v>
      </c>
      <c r="U107" t="s">
        <v>229</v>
      </c>
      <c r="V107" s="2">
        <v>44459.43821758125</v>
      </c>
      <c r="W107" t="s">
        <v>40</v>
      </c>
      <c r="X107">
        <v>0</v>
      </c>
      <c r="Y107" t="s">
        <v>40</v>
      </c>
      <c r="Z107" t="s">
        <v>40</v>
      </c>
      <c r="AA107" t="s">
        <v>40</v>
      </c>
      <c r="AB107">
        <v>2</v>
      </c>
      <c r="AC107" t="s">
        <v>49</v>
      </c>
      <c r="AD107" t="s">
        <v>40</v>
      </c>
      <c r="AE107" t="s">
        <v>40</v>
      </c>
      <c r="AF107" t="s">
        <v>40</v>
      </c>
      <c r="AG107" t="s">
        <v>40</v>
      </c>
      <c r="AH107" t="s">
        <v>40</v>
      </c>
      <c r="AI107" t="s">
        <v>40</v>
      </c>
      <c r="AJ107" t="s">
        <v>40</v>
      </c>
      <c r="AK107" t="s">
        <v>40</v>
      </c>
      <c r="AL107" t="s">
        <v>40</v>
      </c>
      <c r="AM107" t="s">
        <v>40</v>
      </c>
    </row>
    <row r="108" spans="1:39" x14ac:dyDescent="0.2">
      <c r="A108" s="4" t="s">
        <v>456</v>
      </c>
      <c r="B108" s="4" t="s">
        <v>457</v>
      </c>
      <c r="C108" s="4" t="s">
        <v>1745</v>
      </c>
      <c r="D108" s="4" t="s">
        <v>225</v>
      </c>
      <c r="E108" s="4" t="s">
        <v>225</v>
      </c>
      <c r="F108" t="s">
        <v>430</v>
      </c>
      <c r="G108" t="s">
        <v>458</v>
      </c>
      <c r="H108" t="s">
        <v>459</v>
      </c>
      <c r="I108" t="s">
        <v>40</v>
      </c>
      <c r="J108" t="s">
        <v>40</v>
      </c>
      <c r="K108" t="s">
        <v>40</v>
      </c>
      <c r="L108" t="s">
        <v>40</v>
      </c>
      <c r="M108">
        <v>0</v>
      </c>
      <c r="N108">
        <v>200</v>
      </c>
      <c r="O108">
        <v>2</v>
      </c>
      <c r="P108">
        <v>30</v>
      </c>
      <c r="Q108" t="s">
        <v>77</v>
      </c>
      <c r="R108" t="b">
        <v>0</v>
      </c>
      <c r="S108" t="s">
        <v>444</v>
      </c>
      <c r="T108" s="1" t="s">
        <v>49</v>
      </c>
      <c r="U108" t="s">
        <v>229</v>
      </c>
      <c r="V108" s="2">
        <v>44459.441111099441</v>
      </c>
      <c r="W108" t="s">
        <v>40</v>
      </c>
      <c r="X108">
        <v>0</v>
      </c>
      <c r="Y108" t="s">
        <v>40</v>
      </c>
      <c r="Z108" t="s">
        <v>40</v>
      </c>
      <c r="AA108" t="s">
        <v>40</v>
      </c>
      <c r="AB108">
        <v>2</v>
      </c>
      <c r="AC108" t="s">
        <v>49</v>
      </c>
      <c r="AD108" t="s">
        <v>40</v>
      </c>
      <c r="AE108" t="s">
        <v>40</v>
      </c>
      <c r="AF108" t="s">
        <v>40</v>
      </c>
      <c r="AG108" t="s">
        <v>40</v>
      </c>
      <c r="AH108" t="s">
        <v>40</v>
      </c>
      <c r="AI108" t="s">
        <v>40</v>
      </c>
      <c r="AJ108" t="s">
        <v>40</v>
      </c>
      <c r="AK108" t="s">
        <v>40</v>
      </c>
      <c r="AL108" t="s">
        <v>40</v>
      </c>
      <c r="AM108" t="s">
        <v>40</v>
      </c>
    </row>
    <row r="109" spans="1:39" x14ac:dyDescent="0.2">
      <c r="A109" s="7" t="s">
        <v>460</v>
      </c>
      <c r="B109" s="4" t="s">
        <v>461</v>
      </c>
      <c r="C109" s="4" t="s">
        <v>1746</v>
      </c>
      <c r="D109" s="4" t="s">
        <v>225</v>
      </c>
      <c r="E109" s="4" t="s">
        <v>225</v>
      </c>
      <c r="F109" t="s">
        <v>462</v>
      </c>
      <c r="G109" t="s">
        <v>463</v>
      </c>
      <c r="H109" t="s">
        <v>464</v>
      </c>
      <c r="I109" t="s">
        <v>40</v>
      </c>
      <c r="J109" t="s">
        <v>40</v>
      </c>
      <c r="K109" t="s">
        <v>40</v>
      </c>
      <c r="L109" t="s">
        <v>40</v>
      </c>
      <c r="M109">
        <v>336.46000000000004</v>
      </c>
      <c r="N109">
        <v>5000</v>
      </c>
      <c r="O109">
        <v>2</v>
      </c>
      <c r="P109">
        <v>30</v>
      </c>
      <c r="Q109" t="s">
        <v>58</v>
      </c>
      <c r="R109" t="b">
        <v>0</v>
      </c>
      <c r="S109" t="s">
        <v>40</v>
      </c>
      <c r="T109" s="1">
        <v>45306</v>
      </c>
      <c r="U109" t="s">
        <v>229</v>
      </c>
      <c r="V109" s="2">
        <v>44459.449629617855</v>
      </c>
      <c r="W109" t="s">
        <v>40</v>
      </c>
      <c r="X109">
        <v>0</v>
      </c>
      <c r="Y109" t="s">
        <v>40</v>
      </c>
      <c r="Z109" t="s">
        <v>40</v>
      </c>
      <c r="AA109" t="s">
        <v>40</v>
      </c>
      <c r="AB109">
        <v>1</v>
      </c>
      <c r="AC109" t="s">
        <v>49</v>
      </c>
      <c r="AD109" t="s">
        <v>40</v>
      </c>
      <c r="AE109" t="s">
        <v>40</v>
      </c>
      <c r="AF109" t="s">
        <v>40</v>
      </c>
      <c r="AG109" t="s">
        <v>40</v>
      </c>
      <c r="AH109" t="s">
        <v>40</v>
      </c>
      <c r="AI109" t="s">
        <v>40</v>
      </c>
      <c r="AJ109" t="s">
        <v>40</v>
      </c>
      <c r="AK109" t="s">
        <v>40</v>
      </c>
      <c r="AL109" t="s">
        <v>40</v>
      </c>
      <c r="AM109" t="s">
        <v>40</v>
      </c>
    </row>
    <row r="110" spans="1:39" x14ac:dyDescent="0.2">
      <c r="A110" s="4" t="s">
        <v>465</v>
      </c>
      <c r="B110" s="4" t="s">
        <v>466</v>
      </c>
      <c r="C110" s="4" t="s">
        <v>1747</v>
      </c>
      <c r="D110" s="4" t="s">
        <v>341</v>
      </c>
      <c r="E110" s="4" t="s">
        <v>225</v>
      </c>
      <c r="F110" t="s">
        <v>40</v>
      </c>
      <c r="G110" t="s">
        <v>467</v>
      </c>
      <c r="H110" t="s">
        <v>468</v>
      </c>
      <c r="I110" t="s">
        <v>40</v>
      </c>
      <c r="J110" t="s">
        <v>40</v>
      </c>
      <c r="K110" t="s">
        <v>40</v>
      </c>
      <c r="L110" t="s">
        <v>40</v>
      </c>
      <c r="M110">
        <v>0</v>
      </c>
      <c r="N110">
        <v>200</v>
      </c>
      <c r="O110">
        <v>1</v>
      </c>
      <c r="P110">
        <v>0</v>
      </c>
      <c r="Q110" t="s">
        <v>77</v>
      </c>
      <c r="R110" t="b">
        <v>0</v>
      </c>
      <c r="S110" t="s">
        <v>444</v>
      </c>
      <c r="T110" s="1">
        <v>44949</v>
      </c>
      <c r="U110" t="s">
        <v>229</v>
      </c>
      <c r="V110" s="2">
        <v>44460.386678229086</v>
      </c>
      <c r="W110" t="s">
        <v>40</v>
      </c>
      <c r="X110">
        <v>0</v>
      </c>
      <c r="Y110" t="s">
        <v>40</v>
      </c>
      <c r="Z110" t="s">
        <v>40</v>
      </c>
      <c r="AA110" t="s">
        <v>40</v>
      </c>
      <c r="AB110">
        <v>2</v>
      </c>
      <c r="AC110" t="s">
        <v>49</v>
      </c>
      <c r="AD110" t="s">
        <v>40</v>
      </c>
      <c r="AE110" t="s">
        <v>40</v>
      </c>
      <c r="AF110" t="s">
        <v>40</v>
      </c>
      <c r="AG110" t="s">
        <v>40</v>
      </c>
      <c r="AH110" t="s">
        <v>40</v>
      </c>
      <c r="AI110" t="s">
        <v>40</v>
      </c>
      <c r="AJ110" t="s">
        <v>40</v>
      </c>
      <c r="AK110" t="s">
        <v>40</v>
      </c>
      <c r="AL110" t="s">
        <v>40</v>
      </c>
      <c r="AM110" t="s">
        <v>40</v>
      </c>
    </row>
    <row r="111" spans="1:39" x14ac:dyDescent="0.2">
      <c r="A111" s="4" t="s">
        <v>469</v>
      </c>
      <c r="B111" s="4" t="s">
        <v>470</v>
      </c>
      <c r="C111" s="4" t="s">
        <v>1748</v>
      </c>
      <c r="D111" s="4" t="s">
        <v>40</v>
      </c>
      <c r="E111" s="4" t="s">
        <v>40</v>
      </c>
      <c r="F111" t="s">
        <v>40</v>
      </c>
      <c r="G111" t="s">
        <v>460</v>
      </c>
      <c r="H111" t="s">
        <v>40</v>
      </c>
      <c r="I111" t="s">
        <v>40</v>
      </c>
      <c r="J111" t="s">
        <v>40</v>
      </c>
      <c r="K111" t="s">
        <v>40</v>
      </c>
      <c r="L111" t="s">
        <v>40</v>
      </c>
      <c r="M111">
        <v>0</v>
      </c>
      <c r="N111">
        <v>200</v>
      </c>
      <c r="O111">
        <v>2</v>
      </c>
      <c r="P111">
        <v>30</v>
      </c>
      <c r="Q111" t="s">
        <v>77</v>
      </c>
      <c r="R111" t="b">
        <v>0</v>
      </c>
      <c r="S111" t="s">
        <v>59</v>
      </c>
      <c r="T111" s="1" t="s">
        <v>49</v>
      </c>
      <c r="U111" t="s">
        <v>229</v>
      </c>
      <c r="V111" s="2">
        <v>44480.374976851977</v>
      </c>
      <c r="W111" t="s">
        <v>40</v>
      </c>
      <c r="X111">
        <v>0</v>
      </c>
      <c r="Y111" t="s">
        <v>40</v>
      </c>
      <c r="Z111" t="s">
        <v>40</v>
      </c>
      <c r="AA111" t="s">
        <v>40</v>
      </c>
      <c r="AB111">
        <v>1</v>
      </c>
      <c r="AC111" t="s">
        <v>49</v>
      </c>
      <c r="AD111" t="s">
        <v>40</v>
      </c>
      <c r="AE111" t="s">
        <v>40</v>
      </c>
      <c r="AF111" t="s">
        <v>40</v>
      </c>
      <c r="AG111" t="s">
        <v>40</v>
      </c>
      <c r="AH111" t="s">
        <v>40</v>
      </c>
      <c r="AI111" t="s">
        <v>40</v>
      </c>
      <c r="AJ111" t="s">
        <v>40</v>
      </c>
      <c r="AK111" t="s">
        <v>40</v>
      </c>
      <c r="AL111" t="s">
        <v>40</v>
      </c>
      <c r="AM111" t="s">
        <v>40</v>
      </c>
    </row>
    <row r="112" spans="1:39" x14ac:dyDescent="0.2">
      <c r="A112" s="4" t="s">
        <v>471</v>
      </c>
      <c r="B112" s="4" t="s">
        <v>472</v>
      </c>
      <c r="C112" s="4" t="s">
        <v>1749</v>
      </c>
      <c r="D112" s="4" t="s">
        <v>473</v>
      </c>
      <c r="E112" s="4" t="s">
        <v>362</v>
      </c>
      <c r="F112" t="s">
        <v>363</v>
      </c>
      <c r="G112" t="s">
        <v>474</v>
      </c>
      <c r="H112" t="s">
        <v>475</v>
      </c>
      <c r="I112" t="s">
        <v>40</v>
      </c>
      <c r="J112" t="s">
        <v>40</v>
      </c>
      <c r="K112" t="s">
        <v>40</v>
      </c>
      <c r="L112" t="s">
        <v>40</v>
      </c>
      <c r="M112">
        <v>670.6</v>
      </c>
      <c r="N112">
        <v>500</v>
      </c>
      <c r="O112">
        <v>2</v>
      </c>
      <c r="P112">
        <v>30</v>
      </c>
      <c r="Q112" t="s">
        <v>77</v>
      </c>
      <c r="R112" t="b">
        <v>0</v>
      </c>
      <c r="S112" t="s">
        <v>46</v>
      </c>
      <c r="T112" s="1">
        <v>45373</v>
      </c>
      <c r="U112" t="s">
        <v>229</v>
      </c>
      <c r="V112" s="2">
        <v>44480.461342592724</v>
      </c>
      <c r="W112" t="s">
        <v>40</v>
      </c>
      <c r="X112">
        <v>0</v>
      </c>
      <c r="Y112" t="s">
        <v>40</v>
      </c>
      <c r="Z112" t="s">
        <v>40</v>
      </c>
      <c r="AA112" t="s">
        <v>40</v>
      </c>
      <c r="AB112">
        <v>1</v>
      </c>
      <c r="AC112" t="s">
        <v>49</v>
      </c>
      <c r="AD112" t="s">
        <v>40</v>
      </c>
      <c r="AE112" t="s">
        <v>40</v>
      </c>
      <c r="AF112" t="s">
        <v>40</v>
      </c>
      <c r="AG112" t="s">
        <v>40</v>
      </c>
      <c r="AH112" t="s">
        <v>40</v>
      </c>
      <c r="AI112" t="s">
        <v>40</v>
      </c>
      <c r="AJ112" t="s">
        <v>40</v>
      </c>
      <c r="AK112" t="s">
        <v>40</v>
      </c>
      <c r="AL112" t="s">
        <v>40</v>
      </c>
      <c r="AM112" t="s">
        <v>40</v>
      </c>
    </row>
    <row r="113" spans="1:39" x14ac:dyDescent="0.2">
      <c r="A113" s="4" t="s">
        <v>476</v>
      </c>
      <c r="B113" s="4" t="s">
        <v>477</v>
      </c>
      <c r="C113" s="4" t="s">
        <v>1750</v>
      </c>
      <c r="D113" s="4" t="s">
        <v>225</v>
      </c>
      <c r="E113" s="4" t="s">
        <v>225</v>
      </c>
      <c r="F113" t="s">
        <v>478</v>
      </c>
      <c r="G113" t="s">
        <v>479</v>
      </c>
      <c r="H113" t="s">
        <v>480</v>
      </c>
      <c r="I113" t="s">
        <v>40</v>
      </c>
      <c r="J113" t="s">
        <v>40</v>
      </c>
      <c r="K113" t="s">
        <v>40</v>
      </c>
      <c r="L113" t="s">
        <v>40</v>
      </c>
      <c r="M113">
        <v>0</v>
      </c>
      <c r="N113">
        <v>200</v>
      </c>
      <c r="O113">
        <v>2</v>
      </c>
      <c r="P113">
        <v>30</v>
      </c>
      <c r="Q113" t="s">
        <v>77</v>
      </c>
      <c r="R113" t="b">
        <v>0</v>
      </c>
      <c r="S113" t="s">
        <v>444</v>
      </c>
      <c r="T113" t="s">
        <v>49</v>
      </c>
      <c r="U113" t="s">
        <v>229</v>
      </c>
      <c r="V113" s="2">
        <v>44481.718067117967</v>
      </c>
      <c r="W113" t="s">
        <v>40</v>
      </c>
      <c r="X113">
        <v>0</v>
      </c>
      <c r="Y113" t="s">
        <v>40</v>
      </c>
      <c r="Z113" t="s">
        <v>40</v>
      </c>
      <c r="AA113" t="s">
        <v>40</v>
      </c>
      <c r="AB113">
        <v>2</v>
      </c>
      <c r="AC113" t="s">
        <v>49</v>
      </c>
      <c r="AD113" t="s">
        <v>40</v>
      </c>
      <c r="AE113" t="s">
        <v>40</v>
      </c>
      <c r="AF113" t="s">
        <v>40</v>
      </c>
      <c r="AG113" t="s">
        <v>40</v>
      </c>
      <c r="AH113" t="s">
        <v>40</v>
      </c>
      <c r="AI113" t="s">
        <v>40</v>
      </c>
      <c r="AJ113" t="s">
        <v>40</v>
      </c>
      <c r="AK113" t="s">
        <v>40</v>
      </c>
      <c r="AL113" t="s">
        <v>40</v>
      </c>
      <c r="AM113" t="s">
        <v>40</v>
      </c>
    </row>
    <row r="114" spans="1:39" x14ac:dyDescent="0.2">
      <c r="A114" s="4" t="s">
        <v>481</v>
      </c>
      <c r="B114" s="4" t="s">
        <v>482</v>
      </c>
      <c r="C114" s="4" t="s">
        <v>483</v>
      </c>
      <c r="D114" s="4" t="s">
        <v>40</v>
      </c>
      <c r="E114" s="4" t="s">
        <v>40</v>
      </c>
      <c r="F114" t="s">
        <v>40</v>
      </c>
      <c r="G114" t="s">
        <v>481</v>
      </c>
      <c r="H114" t="s">
        <v>40</v>
      </c>
      <c r="I114" t="s">
        <v>40</v>
      </c>
      <c r="J114" t="s">
        <v>40</v>
      </c>
      <c r="K114" t="s">
        <v>40</v>
      </c>
      <c r="L114" t="s">
        <v>40</v>
      </c>
      <c r="M114">
        <v>0</v>
      </c>
      <c r="N114">
        <v>200</v>
      </c>
      <c r="O114">
        <v>2</v>
      </c>
      <c r="P114">
        <v>30</v>
      </c>
      <c r="Q114" t="s">
        <v>77</v>
      </c>
      <c r="R114" t="b">
        <v>0</v>
      </c>
      <c r="S114" t="s">
        <v>444</v>
      </c>
      <c r="T114" s="1" t="s">
        <v>49</v>
      </c>
      <c r="U114" t="s">
        <v>229</v>
      </c>
      <c r="V114" s="2">
        <v>44481.726134247612</v>
      </c>
      <c r="W114" t="s">
        <v>40</v>
      </c>
      <c r="X114">
        <v>0</v>
      </c>
      <c r="Y114" t="s">
        <v>40</v>
      </c>
      <c r="Z114" t="s">
        <v>40</v>
      </c>
      <c r="AA114" t="s">
        <v>40</v>
      </c>
      <c r="AB114">
        <v>1</v>
      </c>
      <c r="AC114" t="s">
        <v>49</v>
      </c>
      <c r="AD114" t="s">
        <v>40</v>
      </c>
      <c r="AE114" t="s">
        <v>40</v>
      </c>
      <c r="AF114" t="s">
        <v>40</v>
      </c>
      <c r="AG114" t="s">
        <v>40</v>
      </c>
      <c r="AH114" t="s">
        <v>40</v>
      </c>
      <c r="AI114" t="s">
        <v>40</v>
      </c>
      <c r="AJ114" t="s">
        <v>40</v>
      </c>
      <c r="AK114" t="s">
        <v>40</v>
      </c>
      <c r="AL114" t="s">
        <v>40</v>
      </c>
      <c r="AM114" t="s">
        <v>40</v>
      </c>
    </row>
    <row r="115" spans="1:39" x14ac:dyDescent="0.2">
      <c r="A115" s="4" t="s">
        <v>484</v>
      </c>
      <c r="B115" s="4" t="s">
        <v>485</v>
      </c>
      <c r="C115" s="4" t="s">
        <v>1751</v>
      </c>
      <c r="D115" s="4" t="s">
        <v>293</v>
      </c>
      <c r="E115" s="4" t="s">
        <v>225</v>
      </c>
      <c r="F115" t="s">
        <v>486</v>
      </c>
      <c r="G115" t="s">
        <v>487</v>
      </c>
      <c r="H115" t="s">
        <v>488</v>
      </c>
      <c r="I115" t="s">
        <v>40</v>
      </c>
      <c r="J115" t="s">
        <v>40</v>
      </c>
      <c r="K115" t="s">
        <v>40</v>
      </c>
      <c r="L115" t="s">
        <v>40</v>
      </c>
      <c r="M115">
        <v>0</v>
      </c>
      <c r="N115">
        <v>200</v>
      </c>
      <c r="O115">
        <v>2</v>
      </c>
      <c r="P115">
        <v>30</v>
      </c>
      <c r="Q115" t="s">
        <v>77</v>
      </c>
      <c r="R115" t="b">
        <v>0</v>
      </c>
      <c r="S115" t="s">
        <v>40</v>
      </c>
      <c r="T115" s="1" t="s">
        <v>49</v>
      </c>
      <c r="U115" t="s">
        <v>229</v>
      </c>
      <c r="V115" s="2">
        <v>44483.437905092724</v>
      </c>
      <c r="W115" t="s">
        <v>40</v>
      </c>
      <c r="X115">
        <v>0</v>
      </c>
      <c r="Y115" t="s">
        <v>40</v>
      </c>
      <c r="Z115" t="s">
        <v>40</v>
      </c>
      <c r="AA115" t="s">
        <v>40</v>
      </c>
      <c r="AB115">
        <v>1</v>
      </c>
      <c r="AC115" t="s">
        <v>49</v>
      </c>
      <c r="AD115" t="s">
        <v>40</v>
      </c>
      <c r="AE115" t="s">
        <v>40</v>
      </c>
      <c r="AF115" t="s">
        <v>40</v>
      </c>
      <c r="AG115" t="s">
        <v>40</v>
      </c>
      <c r="AH115" t="s">
        <v>40</v>
      </c>
      <c r="AI115" t="s">
        <v>40</v>
      </c>
      <c r="AJ115" t="s">
        <v>40</v>
      </c>
      <c r="AK115" t="s">
        <v>40</v>
      </c>
      <c r="AL115" t="s">
        <v>40</v>
      </c>
      <c r="AM115" t="s">
        <v>40</v>
      </c>
    </row>
    <row r="116" spans="1:39" x14ac:dyDescent="0.2">
      <c r="A116" s="4" t="s">
        <v>489</v>
      </c>
      <c r="B116" s="4" t="s">
        <v>490</v>
      </c>
      <c r="C116" s="4" t="s">
        <v>1752</v>
      </c>
      <c r="D116" s="4" t="s">
        <v>293</v>
      </c>
      <c r="E116" s="4" t="s">
        <v>225</v>
      </c>
      <c r="F116" t="s">
        <v>486</v>
      </c>
      <c r="G116" t="s">
        <v>491</v>
      </c>
      <c r="H116" t="s">
        <v>492</v>
      </c>
      <c r="I116" t="s">
        <v>40</v>
      </c>
      <c r="J116" t="s">
        <v>40</v>
      </c>
      <c r="K116" t="s">
        <v>40</v>
      </c>
      <c r="L116" t="s">
        <v>40</v>
      </c>
      <c r="M116">
        <v>4.7</v>
      </c>
      <c r="N116">
        <v>200</v>
      </c>
      <c r="O116">
        <v>1</v>
      </c>
      <c r="P116">
        <v>0</v>
      </c>
      <c r="Q116" t="s">
        <v>77</v>
      </c>
      <c r="R116" t="b">
        <v>0</v>
      </c>
      <c r="S116" t="s">
        <v>87</v>
      </c>
      <c r="T116" s="1">
        <v>44956</v>
      </c>
      <c r="U116" t="s">
        <v>229</v>
      </c>
      <c r="V116" s="2">
        <v>44483.439131932799</v>
      </c>
      <c r="W116" t="s">
        <v>40</v>
      </c>
      <c r="X116">
        <v>0</v>
      </c>
      <c r="Y116" t="s">
        <v>40</v>
      </c>
      <c r="Z116" t="s">
        <v>40</v>
      </c>
      <c r="AA116" t="s">
        <v>40</v>
      </c>
      <c r="AB116">
        <v>1</v>
      </c>
      <c r="AC116" t="s">
        <v>49</v>
      </c>
      <c r="AD116" t="s">
        <v>40</v>
      </c>
      <c r="AE116" t="s">
        <v>40</v>
      </c>
      <c r="AF116" t="s">
        <v>40</v>
      </c>
      <c r="AG116" t="s">
        <v>40</v>
      </c>
      <c r="AH116" t="s">
        <v>40</v>
      </c>
      <c r="AI116" t="s">
        <v>40</v>
      </c>
      <c r="AJ116" t="s">
        <v>40</v>
      </c>
      <c r="AK116" t="s">
        <v>40</v>
      </c>
      <c r="AL116" t="s">
        <v>40</v>
      </c>
      <c r="AM116" t="s">
        <v>40</v>
      </c>
    </row>
    <row r="117" spans="1:39" x14ac:dyDescent="0.2">
      <c r="A117" s="4" t="s">
        <v>493</v>
      </c>
      <c r="B117" s="4" t="s">
        <v>494</v>
      </c>
      <c r="C117" s="4" t="s">
        <v>1753</v>
      </c>
      <c r="D117" s="4" t="s">
        <v>225</v>
      </c>
      <c r="E117" s="4" t="s">
        <v>225</v>
      </c>
      <c r="F117" t="s">
        <v>40</v>
      </c>
      <c r="G117" t="s">
        <v>495</v>
      </c>
      <c r="H117" t="s">
        <v>496</v>
      </c>
      <c r="I117" t="s">
        <v>40</v>
      </c>
      <c r="J117" t="s">
        <v>40</v>
      </c>
      <c r="K117" t="s">
        <v>40</v>
      </c>
      <c r="L117" t="s">
        <v>40</v>
      </c>
      <c r="M117">
        <v>48.5</v>
      </c>
      <c r="N117">
        <v>200</v>
      </c>
      <c r="O117">
        <v>1</v>
      </c>
      <c r="P117">
        <v>0</v>
      </c>
      <c r="Q117" t="s">
        <v>77</v>
      </c>
      <c r="R117" t="b">
        <v>0</v>
      </c>
      <c r="S117" t="s">
        <v>40</v>
      </c>
      <c r="T117" s="1">
        <v>44956</v>
      </c>
      <c r="U117" t="s">
        <v>229</v>
      </c>
      <c r="V117" s="2">
        <v>44483.440208333544</v>
      </c>
      <c r="W117" t="s">
        <v>40</v>
      </c>
      <c r="X117">
        <v>0</v>
      </c>
      <c r="Y117" t="s">
        <v>40</v>
      </c>
      <c r="Z117" t="s">
        <v>40</v>
      </c>
      <c r="AA117" t="s">
        <v>40</v>
      </c>
      <c r="AB117">
        <v>2</v>
      </c>
      <c r="AC117" t="s">
        <v>49</v>
      </c>
      <c r="AD117" t="s">
        <v>40</v>
      </c>
      <c r="AE117" t="s">
        <v>40</v>
      </c>
      <c r="AF117" t="s">
        <v>40</v>
      </c>
      <c r="AG117" t="s">
        <v>40</v>
      </c>
      <c r="AH117" t="s">
        <v>40</v>
      </c>
      <c r="AI117" t="s">
        <v>40</v>
      </c>
      <c r="AJ117" t="s">
        <v>40</v>
      </c>
      <c r="AK117" t="s">
        <v>40</v>
      </c>
      <c r="AL117" t="s">
        <v>40</v>
      </c>
      <c r="AM117" t="s">
        <v>40</v>
      </c>
    </row>
    <row r="118" spans="1:39" x14ac:dyDescent="0.2">
      <c r="A118" s="4" t="s">
        <v>497</v>
      </c>
      <c r="B118" s="4" t="s">
        <v>498</v>
      </c>
      <c r="C118" s="4" t="s">
        <v>1754</v>
      </c>
      <c r="D118" s="4" t="s">
        <v>225</v>
      </c>
      <c r="E118" s="4" t="s">
        <v>225</v>
      </c>
      <c r="F118" t="s">
        <v>40</v>
      </c>
      <c r="G118" t="s">
        <v>499</v>
      </c>
      <c r="H118" t="s">
        <v>500</v>
      </c>
      <c r="I118" t="s">
        <v>40</v>
      </c>
      <c r="J118" t="s">
        <v>40</v>
      </c>
      <c r="K118" t="s">
        <v>40</v>
      </c>
      <c r="L118" t="s">
        <v>40</v>
      </c>
      <c r="M118">
        <v>0</v>
      </c>
      <c r="N118">
        <v>200</v>
      </c>
      <c r="O118">
        <v>2</v>
      </c>
      <c r="P118">
        <v>30</v>
      </c>
      <c r="Q118" t="s">
        <v>77</v>
      </c>
      <c r="R118" t="b">
        <v>0</v>
      </c>
      <c r="S118" t="s">
        <v>40</v>
      </c>
      <c r="T118" s="1" t="s">
        <v>49</v>
      </c>
      <c r="U118" t="s">
        <v>229</v>
      </c>
      <c r="V118" s="2">
        <v>44483.447025462985</v>
      </c>
      <c r="W118" t="s">
        <v>40</v>
      </c>
      <c r="X118">
        <v>0</v>
      </c>
      <c r="Y118" t="s">
        <v>40</v>
      </c>
      <c r="Z118" t="s">
        <v>40</v>
      </c>
      <c r="AA118" t="s">
        <v>40</v>
      </c>
      <c r="AB118">
        <v>2</v>
      </c>
      <c r="AC118" t="s">
        <v>49</v>
      </c>
      <c r="AD118" t="s">
        <v>40</v>
      </c>
      <c r="AE118" t="s">
        <v>40</v>
      </c>
      <c r="AF118" t="s">
        <v>40</v>
      </c>
      <c r="AG118" t="s">
        <v>40</v>
      </c>
      <c r="AH118" t="s">
        <v>40</v>
      </c>
      <c r="AI118" t="s">
        <v>40</v>
      </c>
      <c r="AJ118" t="s">
        <v>40</v>
      </c>
      <c r="AK118" t="s">
        <v>40</v>
      </c>
      <c r="AL118" t="s">
        <v>40</v>
      </c>
      <c r="AM118" t="s">
        <v>40</v>
      </c>
    </row>
    <row r="119" spans="1:39" x14ac:dyDescent="0.2">
      <c r="A119" s="4" t="s">
        <v>501</v>
      </c>
      <c r="B119" s="4" t="s">
        <v>502</v>
      </c>
      <c r="C119" s="4" t="s">
        <v>1755</v>
      </c>
      <c r="D119" s="4" t="s">
        <v>225</v>
      </c>
      <c r="E119" s="4" t="s">
        <v>225</v>
      </c>
      <c r="F119" t="s">
        <v>503</v>
      </c>
      <c r="G119" t="s">
        <v>504</v>
      </c>
      <c r="H119" t="s">
        <v>505</v>
      </c>
      <c r="I119" t="s">
        <v>40</v>
      </c>
      <c r="J119" t="s">
        <v>40</v>
      </c>
      <c r="K119" t="s">
        <v>40</v>
      </c>
      <c r="L119" t="s">
        <v>40</v>
      </c>
      <c r="M119">
        <v>0</v>
      </c>
      <c r="N119">
        <v>200</v>
      </c>
      <c r="O119">
        <v>2</v>
      </c>
      <c r="P119">
        <v>30</v>
      </c>
      <c r="Q119" t="s">
        <v>77</v>
      </c>
      <c r="R119" t="b">
        <v>0</v>
      </c>
      <c r="S119" t="s">
        <v>444</v>
      </c>
      <c r="T119" t="s">
        <v>49</v>
      </c>
      <c r="U119" t="s">
        <v>229</v>
      </c>
      <c r="V119" s="2">
        <v>44483.458946759347</v>
      </c>
      <c r="W119" t="s">
        <v>40</v>
      </c>
      <c r="X119">
        <v>0</v>
      </c>
      <c r="Y119" t="s">
        <v>40</v>
      </c>
      <c r="Z119" t="s">
        <v>40</v>
      </c>
      <c r="AA119" t="s">
        <v>40</v>
      </c>
      <c r="AB119">
        <v>2</v>
      </c>
      <c r="AC119" t="s">
        <v>49</v>
      </c>
      <c r="AD119" t="s">
        <v>40</v>
      </c>
      <c r="AE119" t="s">
        <v>40</v>
      </c>
      <c r="AF119" t="s">
        <v>40</v>
      </c>
      <c r="AG119" t="s">
        <v>40</v>
      </c>
      <c r="AH119" t="s">
        <v>40</v>
      </c>
      <c r="AI119" t="s">
        <v>40</v>
      </c>
      <c r="AJ119" t="s">
        <v>40</v>
      </c>
      <c r="AK119" t="s">
        <v>40</v>
      </c>
      <c r="AL119" t="s">
        <v>40</v>
      </c>
      <c r="AM119" t="s">
        <v>40</v>
      </c>
    </row>
    <row r="120" spans="1:39" x14ac:dyDescent="0.2">
      <c r="A120" s="4" t="s">
        <v>506</v>
      </c>
      <c r="B120" s="4" t="s">
        <v>507</v>
      </c>
      <c r="C120" s="4" t="s">
        <v>40</v>
      </c>
      <c r="D120" s="4" t="s">
        <v>40</v>
      </c>
      <c r="E120" s="4" t="s">
        <v>40</v>
      </c>
      <c r="F120" t="s">
        <v>40</v>
      </c>
      <c r="G120" t="s">
        <v>506</v>
      </c>
      <c r="H120" t="s">
        <v>40</v>
      </c>
      <c r="I120" t="s">
        <v>40</v>
      </c>
      <c r="J120" t="s">
        <v>40</v>
      </c>
      <c r="K120" t="s">
        <v>40</v>
      </c>
      <c r="L120" t="s">
        <v>40</v>
      </c>
      <c r="M120">
        <v>0</v>
      </c>
      <c r="N120">
        <v>200</v>
      </c>
      <c r="O120">
        <v>2</v>
      </c>
      <c r="P120">
        <v>30</v>
      </c>
      <c r="Q120" t="s">
        <v>77</v>
      </c>
      <c r="R120" t="b">
        <v>0</v>
      </c>
      <c r="S120" t="s">
        <v>59</v>
      </c>
      <c r="T120" s="1" t="s">
        <v>49</v>
      </c>
      <c r="U120" t="s">
        <v>229</v>
      </c>
      <c r="V120" s="2">
        <v>44489.348773148376</v>
      </c>
      <c r="W120" t="s">
        <v>40</v>
      </c>
      <c r="X120">
        <v>0</v>
      </c>
      <c r="Y120" t="s">
        <v>40</v>
      </c>
      <c r="Z120" t="s">
        <v>40</v>
      </c>
      <c r="AA120" t="s">
        <v>40</v>
      </c>
      <c r="AB120">
        <v>1</v>
      </c>
      <c r="AC120" t="s">
        <v>49</v>
      </c>
      <c r="AD120" t="s">
        <v>40</v>
      </c>
      <c r="AE120" t="s">
        <v>40</v>
      </c>
      <c r="AF120" t="s">
        <v>40</v>
      </c>
      <c r="AG120" t="s">
        <v>40</v>
      </c>
      <c r="AH120" t="s">
        <v>40</v>
      </c>
      <c r="AI120" t="s">
        <v>40</v>
      </c>
      <c r="AJ120" t="s">
        <v>40</v>
      </c>
      <c r="AK120" t="s">
        <v>40</v>
      </c>
      <c r="AL120" t="s">
        <v>40</v>
      </c>
      <c r="AM120" t="s">
        <v>40</v>
      </c>
    </row>
    <row r="121" spans="1:39" x14ac:dyDescent="0.2">
      <c r="A121" s="4" t="s">
        <v>508</v>
      </c>
      <c r="B121" s="4" t="s">
        <v>1585</v>
      </c>
      <c r="C121" s="4" t="s">
        <v>1756</v>
      </c>
      <c r="D121" s="4" t="s">
        <v>225</v>
      </c>
      <c r="E121" s="4" t="s">
        <v>225</v>
      </c>
      <c r="F121" t="s">
        <v>509</v>
      </c>
      <c r="G121" t="s">
        <v>510</v>
      </c>
      <c r="H121" t="s">
        <v>511</v>
      </c>
      <c r="I121" t="s">
        <v>40</v>
      </c>
      <c r="J121" t="s">
        <v>40</v>
      </c>
      <c r="K121" t="s">
        <v>40</v>
      </c>
      <c r="L121" t="s">
        <v>40</v>
      </c>
      <c r="M121">
        <v>0</v>
      </c>
      <c r="N121">
        <v>100</v>
      </c>
      <c r="O121">
        <v>2</v>
      </c>
      <c r="P121">
        <v>30</v>
      </c>
      <c r="Q121" t="s">
        <v>77</v>
      </c>
      <c r="R121" t="b">
        <v>0</v>
      </c>
      <c r="S121" t="s">
        <v>40</v>
      </c>
      <c r="T121" s="1" t="s">
        <v>49</v>
      </c>
      <c r="U121" t="s">
        <v>229</v>
      </c>
      <c r="V121" s="2">
        <v>44501.358240740839</v>
      </c>
      <c r="W121" t="s">
        <v>40</v>
      </c>
      <c r="X121">
        <v>0</v>
      </c>
      <c r="Y121" t="s">
        <v>40</v>
      </c>
      <c r="Z121" t="s">
        <v>40</v>
      </c>
      <c r="AA121" t="s">
        <v>40</v>
      </c>
      <c r="AB121">
        <v>2</v>
      </c>
      <c r="AC121" t="s">
        <v>49</v>
      </c>
      <c r="AD121" t="s">
        <v>40</v>
      </c>
      <c r="AE121" t="s">
        <v>40</v>
      </c>
      <c r="AF121" t="s">
        <v>40</v>
      </c>
      <c r="AG121" t="s">
        <v>40</v>
      </c>
      <c r="AH121" t="s">
        <v>40</v>
      </c>
      <c r="AI121" t="s">
        <v>40</v>
      </c>
      <c r="AJ121" t="s">
        <v>40</v>
      </c>
      <c r="AK121" t="s">
        <v>40</v>
      </c>
      <c r="AL121" t="s">
        <v>40</v>
      </c>
      <c r="AM121" t="s">
        <v>40</v>
      </c>
    </row>
    <row r="122" spans="1:39" x14ac:dyDescent="0.2">
      <c r="A122" s="4" t="s">
        <v>512</v>
      </c>
      <c r="B122" s="4" t="s">
        <v>513</v>
      </c>
      <c r="C122" s="4" t="s">
        <v>514</v>
      </c>
      <c r="D122" s="4" t="s">
        <v>40</v>
      </c>
      <c r="E122" s="4" t="s">
        <v>40</v>
      </c>
      <c r="F122" t="s">
        <v>40</v>
      </c>
      <c r="G122" t="s">
        <v>512</v>
      </c>
      <c r="H122" t="s">
        <v>40</v>
      </c>
      <c r="I122" t="s">
        <v>40</v>
      </c>
      <c r="J122" t="s">
        <v>40</v>
      </c>
      <c r="K122" t="s">
        <v>40</v>
      </c>
      <c r="L122" t="s">
        <v>40</v>
      </c>
      <c r="M122">
        <v>60.150000000000006</v>
      </c>
      <c r="N122">
        <v>200</v>
      </c>
      <c r="O122">
        <v>2</v>
      </c>
      <c r="P122">
        <v>30</v>
      </c>
      <c r="Q122" t="s">
        <v>77</v>
      </c>
      <c r="R122" t="b">
        <v>0</v>
      </c>
      <c r="S122" t="s">
        <v>40</v>
      </c>
      <c r="T122" s="1">
        <v>44700</v>
      </c>
      <c r="U122" t="s">
        <v>229</v>
      </c>
      <c r="V122" s="2">
        <v>44517.732337951194</v>
      </c>
      <c r="W122" t="s">
        <v>40</v>
      </c>
      <c r="X122">
        <v>0</v>
      </c>
      <c r="Y122" t="s">
        <v>40</v>
      </c>
      <c r="Z122" t="s">
        <v>40</v>
      </c>
      <c r="AA122" t="s">
        <v>40</v>
      </c>
      <c r="AB122">
        <v>0</v>
      </c>
      <c r="AC122" t="s">
        <v>49</v>
      </c>
      <c r="AD122" t="s">
        <v>40</v>
      </c>
      <c r="AE122" t="s">
        <v>40</v>
      </c>
      <c r="AF122" t="s">
        <v>40</v>
      </c>
      <c r="AG122" t="s">
        <v>40</v>
      </c>
      <c r="AH122" t="s">
        <v>40</v>
      </c>
      <c r="AI122" t="s">
        <v>40</v>
      </c>
      <c r="AJ122" t="s">
        <v>40</v>
      </c>
      <c r="AK122" t="s">
        <v>40</v>
      </c>
      <c r="AL122" t="s">
        <v>40</v>
      </c>
      <c r="AM122" t="s">
        <v>40</v>
      </c>
    </row>
    <row r="123" spans="1:39" x14ac:dyDescent="0.2">
      <c r="A123" s="4" t="s">
        <v>515</v>
      </c>
      <c r="B123" s="4" t="s">
        <v>516</v>
      </c>
      <c r="C123" s="4" t="s">
        <v>1757</v>
      </c>
      <c r="D123" s="4" t="s">
        <v>247</v>
      </c>
      <c r="E123" s="4" t="s">
        <v>225</v>
      </c>
      <c r="F123" t="s">
        <v>517</v>
      </c>
      <c r="G123" t="s">
        <v>518</v>
      </c>
      <c r="H123" t="s">
        <v>519</v>
      </c>
      <c r="I123" t="s">
        <v>40</v>
      </c>
      <c r="J123" t="s">
        <v>40</v>
      </c>
      <c r="K123" t="s">
        <v>40</v>
      </c>
      <c r="L123" t="s">
        <v>40</v>
      </c>
      <c r="M123">
        <v>0</v>
      </c>
      <c r="N123">
        <v>20</v>
      </c>
      <c r="O123">
        <v>1</v>
      </c>
      <c r="P123">
        <v>0</v>
      </c>
      <c r="Q123" t="s">
        <v>77</v>
      </c>
      <c r="R123" t="b">
        <v>0</v>
      </c>
      <c r="S123" t="s">
        <v>40</v>
      </c>
      <c r="T123" s="1">
        <v>44956</v>
      </c>
      <c r="U123" t="s">
        <v>229</v>
      </c>
      <c r="V123" s="2">
        <v>44523.45949072903</v>
      </c>
      <c r="W123" t="s">
        <v>40</v>
      </c>
      <c r="X123">
        <v>0</v>
      </c>
      <c r="Y123" t="s">
        <v>40</v>
      </c>
      <c r="Z123" t="s">
        <v>40</v>
      </c>
      <c r="AA123" t="s">
        <v>40</v>
      </c>
      <c r="AB123">
        <v>1</v>
      </c>
      <c r="AC123" t="s">
        <v>49</v>
      </c>
      <c r="AD123" t="s">
        <v>40</v>
      </c>
      <c r="AE123" t="s">
        <v>40</v>
      </c>
      <c r="AF123" t="s">
        <v>40</v>
      </c>
      <c r="AG123" t="s">
        <v>40</v>
      </c>
      <c r="AH123" t="s">
        <v>40</v>
      </c>
      <c r="AI123" t="s">
        <v>40</v>
      </c>
      <c r="AJ123" t="s">
        <v>40</v>
      </c>
      <c r="AK123" t="s">
        <v>40</v>
      </c>
      <c r="AL123" t="s">
        <v>40</v>
      </c>
      <c r="AM123" t="s">
        <v>40</v>
      </c>
    </row>
    <row r="124" spans="1:39" x14ac:dyDescent="0.2">
      <c r="A124" s="4" t="s">
        <v>520</v>
      </c>
      <c r="B124" s="4" t="s">
        <v>521</v>
      </c>
      <c r="C124" s="4" t="s">
        <v>225</v>
      </c>
      <c r="D124" s="4" t="s">
        <v>40</v>
      </c>
      <c r="E124" s="4" t="s">
        <v>40</v>
      </c>
      <c r="F124" t="s">
        <v>522</v>
      </c>
      <c r="G124" t="s">
        <v>523</v>
      </c>
      <c r="H124" t="s">
        <v>524</v>
      </c>
      <c r="I124" t="s">
        <v>40</v>
      </c>
      <c r="J124" t="s">
        <v>40</v>
      </c>
      <c r="K124" t="s">
        <v>40</v>
      </c>
      <c r="L124" t="s">
        <v>40</v>
      </c>
      <c r="M124">
        <v>4.9000000000000004</v>
      </c>
      <c r="N124">
        <v>200</v>
      </c>
      <c r="O124">
        <v>1</v>
      </c>
      <c r="P124">
        <v>0</v>
      </c>
      <c r="Q124" t="s">
        <v>77</v>
      </c>
      <c r="R124" t="b">
        <v>0</v>
      </c>
      <c r="S124" t="s">
        <v>40</v>
      </c>
      <c r="T124">
        <v>45213</v>
      </c>
      <c r="U124" t="s">
        <v>229</v>
      </c>
      <c r="V124" s="2">
        <v>44524.446597222239</v>
      </c>
      <c r="W124" t="s">
        <v>40</v>
      </c>
      <c r="X124">
        <v>0</v>
      </c>
      <c r="Y124" t="s">
        <v>40</v>
      </c>
      <c r="Z124" t="s">
        <v>40</v>
      </c>
      <c r="AA124" t="s">
        <v>40</v>
      </c>
      <c r="AB124">
        <v>2</v>
      </c>
      <c r="AC124" t="s">
        <v>49</v>
      </c>
      <c r="AD124" t="s">
        <v>40</v>
      </c>
      <c r="AE124" t="s">
        <v>40</v>
      </c>
      <c r="AF124" t="s">
        <v>40</v>
      </c>
      <c r="AG124" t="s">
        <v>40</v>
      </c>
      <c r="AH124" t="s">
        <v>40</v>
      </c>
      <c r="AI124" t="s">
        <v>40</v>
      </c>
      <c r="AJ124" t="s">
        <v>40</v>
      </c>
      <c r="AK124" t="s">
        <v>40</v>
      </c>
      <c r="AL124" t="s">
        <v>40</v>
      </c>
      <c r="AM124" t="s">
        <v>40</v>
      </c>
    </row>
    <row r="125" spans="1:39" x14ac:dyDescent="0.2">
      <c r="A125" s="4" t="s">
        <v>525</v>
      </c>
      <c r="B125" s="4" t="s">
        <v>1586</v>
      </c>
      <c r="C125" s="4" t="s">
        <v>1758</v>
      </c>
      <c r="D125" s="4" t="s">
        <v>526</v>
      </c>
      <c r="E125" s="4" t="s">
        <v>526</v>
      </c>
      <c r="F125" t="s">
        <v>527</v>
      </c>
      <c r="G125" t="s">
        <v>528</v>
      </c>
      <c r="H125" t="s">
        <v>529</v>
      </c>
      <c r="I125" t="s">
        <v>40</v>
      </c>
      <c r="J125" t="s">
        <v>40</v>
      </c>
      <c r="K125" t="s">
        <v>40</v>
      </c>
      <c r="L125" t="s">
        <v>40</v>
      </c>
      <c r="M125">
        <v>0</v>
      </c>
      <c r="N125">
        <v>20</v>
      </c>
      <c r="O125">
        <v>1</v>
      </c>
      <c r="P125">
        <v>0</v>
      </c>
      <c r="Q125" t="s">
        <v>77</v>
      </c>
      <c r="R125" t="b">
        <v>0</v>
      </c>
      <c r="S125" t="s">
        <v>87</v>
      </c>
      <c r="T125" s="1">
        <v>44949</v>
      </c>
      <c r="U125" t="s">
        <v>229</v>
      </c>
      <c r="V125" s="2">
        <v>44524.664247673471</v>
      </c>
      <c r="W125" t="s">
        <v>40</v>
      </c>
      <c r="X125">
        <v>0</v>
      </c>
      <c r="Y125" t="s">
        <v>40</v>
      </c>
      <c r="Z125" t="s">
        <v>40</v>
      </c>
      <c r="AA125" t="s">
        <v>40</v>
      </c>
      <c r="AB125">
        <v>2</v>
      </c>
      <c r="AC125" t="s">
        <v>49</v>
      </c>
      <c r="AD125" t="s">
        <v>40</v>
      </c>
      <c r="AE125" t="s">
        <v>40</v>
      </c>
      <c r="AF125" t="s">
        <v>40</v>
      </c>
      <c r="AG125" t="s">
        <v>40</v>
      </c>
      <c r="AH125" t="s">
        <v>40</v>
      </c>
      <c r="AI125" t="s">
        <v>40</v>
      </c>
      <c r="AJ125" t="s">
        <v>40</v>
      </c>
      <c r="AK125" t="s">
        <v>40</v>
      </c>
      <c r="AL125" t="s">
        <v>40</v>
      </c>
      <c r="AM125" t="s">
        <v>40</v>
      </c>
    </row>
    <row r="126" spans="1:39" x14ac:dyDescent="0.2">
      <c r="A126" s="4" t="s">
        <v>530</v>
      </c>
      <c r="B126" s="4" t="s">
        <v>531</v>
      </c>
      <c r="C126" s="4" t="s">
        <v>1759</v>
      </c>
      <c r="D126" s="4" t="s">
        <v>225</v>
      </c>
      <c r="E126" s="4" t="s">
        <v>225</v>
      </c>
      <c r="F126" t="s">
        <v>430</v>
      </c>
      <c r="G126" t="s">
        <v>532</v>
      </c>
      <c r="H126" t="s">
        <v>533</v>
      </c>
      <c r="I126" t="s">
        <v>40</v>
      </c>
      <c r="J126" t="s">
        <v>40</v>
      </c>
      <c r="K126" t="s">
        <v>40</v>
      </c>
      <c r="L126" t="s">
        <v>40</v>
      </c>
      <c r="M126">
        <v>-65.100000000000009</v>
      </c>
      <c r="N126">
        <v>200</v>
      </c>
      <c r="O126">
        <v>1</v>
      </c>
      <c r="P126">
        <v>0</v>
      </c>
      <c r="Q126" t="s">
        <v>77</v>
      </c>
      <c r="R126" t="b">
        <v>0</v>
      </c>
      <c r="S126" t="s">
        <v>87</v>
      </c>
      <c r="T126">
        <v>45296</v>
      </c>
      <c r="U126" t="s">
        <v>229</v>
      </c>
      <c r="V126" s="2">
        <v>44564.44457174791</v>
      </c>
      <c r="W126" t="s">
        <v>40</v>
      </c>
      <c r="X126">
        <v>0</v>
      </c>
      <c r="Y126" t="s">
        <v>40</v>
      </c>
      <c r="Z126" t="s">
        <v>40</v>
      </c>
      <c r="AA126" t="s">
        <v>40</v>
      </c>
      <c r="AB126">
        <v>2</v>
      </c>
      <c r="AC126" t="s">
        <v>49</v>
      </c>
      <c r="AD126" t="s">
        <v>40</v>
      </c>
      <c r="AE126" t="s">
        <v>40</v>
      </c>
      <c r="AF126" t="s">
        <v>40</v>
      </c>
      <c r="AG126" t="s">
        <v>40</v>
      </c>
      <c r="AH126" t="s">
        <v>40</v>
      </c>
      <c r="AI126" t="s">
        <v>40</v>
      </c>
      <c r="AJ126" t="s">
        <v>40</v>
      </c>
      <c r="AK126" t="s">
        <v>40</v>
      </c>
      <c r="AL126" t="s">
        <v>40</v>
      </c>
      <c r="AM126" t="s">
        <v>40</v>
      </c>
    </row>
    <row r="127" spans="1:39" x14ac:dyDescent="0.2">
      <c r="A127" s="4" t="s">
        <v>534</v>
      </c>
      <c r="B127" s="4" t="s">
        <v>1587</v>
      </c>
      <c r="C127" s="4" t="s">
        <v>1760</v>
      </c>
      <c r="D127" s="4" t="s">
        <v>51</v>
      </c>
      <c r="E127" s="4" t="s">
        <v>51</v>
      </c>
      <c r="F127" t="s">
        <v>40</v>
      </c>
      <c r="G127" t="s">
        <v>535</v>
      </c>
      <c r="H127" t="s">
        <v>536</v>
      </c>
      <c r="I127" t="s">
        <v>40</v>
      </c>
      <c r="J127" t="s">
        <v>40</v>
      </c>
      <c r="K127" t="s">
        <v>40</v>
      </c>
      <c r="L127" t="s">
        <v>40</v>
      </c>
      <c r="M127">
        <v>0</v>
      </c>
      <c r="N127">
        <v>200</v>
      </c>
      <c r="O127">
        <v>1</v>
      </c>
      <c r="P127">
        <v>0</v>
      </c>
      <c r="Q127" t="s">
        <v>77</v>
      </c>
      <c r="R127" t="b">
        <v>0</v>
      </c>
      <c r="S127" t="s">
        <v>46</v>
      </c>
      <c r="T127" s="1">
        <v>44952</v>
      </c>
      <c r="U127" t="s">
        <v>229</v>
      </c>
      <c r="V127" s="2">
        <v>44564.65658564819</v>
      </c>
      <c r="W127" t="s">
        <v>40</v>
      </c>
      <c r="X127">
        <v>0</v>
      </c>
      <c r="Y127" t="s">
        <v>40</v>
      </c>
      <c r="Z127" t="s">
        <v>40</v>
      </c>
      <c r="AA127" t="s">
        <v>40</v>
      </c>
      <c r="AB127">
        <v>2</v>
      </c>
      <c r="AC127" t="s">
        <v>49</v>
      </c>
      <c r="AD127" t="s">
        <v>40</v>
      </c>
      <c r="AE127" t="s">
        <v>40</v>
      </c>
      <c r="AF127" t="s">
        <v>40</v>
      </c>
      <c r="AG127" t="s">
        <v>40</v>
      </c>
      <c r="AH127" t="s">
        <v>40</v>
      </c>
      <c r="AI127" t="s">
        <v>40</v>
      </c>
      <c r="AJ127" t="s">
        <v>40</v>
      </c>
      <c r="AK127" t="s">
        <v>40</v>
      </c>
      <c r="AL127" t="s">
        <v>40</v>
      </c>
      <c r="AM127" t="s">
        <v>40</v>
      </c>
    </row>
    <row r="128" spans="1:39" x14ac:dyDescent="0.2">
      <c r="A128" s="4" t="s">
        <v>537</v>
      </c>
      <c r="B128" s="4" t="s">
        <v>538</v>
      </c>
      <c r="C128" s="4" t="s">
        <v>1761</v>
      </c>
      <c r="D128" s="4" t="s">
        <v>51</v>
      </c>
      <c r="E128" s="4" t="s">
        <v>51</v>
      </c>
      <c r="F128" t="s">
        <v>539</v>
      </c>
      <c r="G128" t="s">
        <v>540</v>
      </c>
      <c r="H128" t="s">
        <v>541</v>
      </c>
      <c r="I128" t="s">
        <v>40</v>
      </c>
      <c r="J128" t="s">
        <v>40</v>
      </c>
      <c r="K128" t="s">
        <v>40</v>
      </c>
      <c r="L128" t="s">
        <v>40</v>
      </c>
      <c r="M128">
        <v>0</v>
      </c>
      <c r="N128">
        <v>200</v>
      </c>
      <c r="O128">
        <v>2</v>
      </c>
      <c r="P128">
        <v>30</v>
      </c>
      <c r="Q128" t="s">
        <v>77</v>
      </c>
      <c r="R128" t="b">
        <v>0</v>
      </c>
      <c r="S128" t="s">
        <v>59</v>
      </c>
      <c r="T128" s="1" t="s">
        <v>49</v>
      </c>
      <c r="U128" t="s">
        <v>229</v>
      </c>
      <c r="V128" s="2">
        <v>44573.759930555709</v>
      </c>
      <c r="W128" t="s">
        <v>40</v>
      </c>
      <c r="X128">
        <v>0</v>
      </c>
      <c r="Y128" t="s">
        <v>40</v>
      </c>
      <c r="Z128" t="s">
        <v>40</v>
      </c>
      <c r="AA128" t="s">
        <v>40</v>
      </c>
      <c r="AB128">
        <v>1</v>
      </c>
      <c r="AC128" t="s">
        <v>49</v>
      </c>
      <c r="AD128" t="s">
        <v>40</v>
      </c>
      <c r="AE128" t="s">
        <v>40</v>
      </c>
      <c r="AF128" t="s">
        <v>40</v>
      </c>
      <c r="AG128" t="s">
        <v>40</v>
      </c>
      <c r="AH128" t="s">
        <v>40</v>
      </c>
      <c r="AI128" t="s">
        <v>40</v>
      </c>
      <c r="AJ128" t="s">
        <v>40</v>
      </c>
      <c r="AK128" t="s">
        <v>40</v>
      </c>
      <c r="AL128" t="s">
        <v>40</v>
      </c>
      <c r="AM128" t="s">
        <v>40</v>
      </c>
    </row>
    <row r="129" spans="1:39" x14ac:dyDescent="0.2">
      <c r="A129" s="4" t="s">
        <v>542</v>
      </c>
      <c r="B129" s="4" t="s">
        <v>1588</v>
      </c>
      <c r="C129" s="4" t="s">
        <v>1762</v>
      </c>
      <c r="D129" s="4" t="s">
        <v>51</v>
      </c>
      <c r="E129" s="4" t="s">
        <v>51</v>
      </c>
      <c r="F129" t="s">
        <v>40</v>
      </c>
      <c r="G129" t="s">
        <v>543</v>
      </c>
      <c r="H129" t="s">
        <v>544</v>
      </c>
      <c r="I129" t="s">
        <v>40</v>
      </c>
      <c r="J129" t="s">
        <v>40</v>
      </c>
      <c r="K129" t="s">
        <v>40</v>
      </c>
      <c r="L129" t="s">
        <v>40</v>
      </c>
      <c r="M129">
        <v>21.650000000000002</v>
      </c>
      <c r="N129">
        <v>200</v>
      </c>
      <c r="O129">
        <v>2</v>
      </c>
      <c r="P129">
        <v>30</v>
      </c>
      <c r="Q129" t="s">
        <v>77</v>
      </c>
      <c r="R129" t="b">
        <v>0</v>
      </c>
      <c r="S129" t="s">
        <v>59</v>
      </c>
      <c r="T129" s="1">
        <v>44943</v>
      </c>
      <c r="U129" t="s">
        <v>229</v>
      </c>
      <c r="V129" s="2">
        <v>44588.657858796418</v>
      </c>
      <c r="W129" t="s">
        <v>40</v>
      </c>
      <c r="X129">
        <v>0</v>
      </c>
      <c r="Y129" t="s">
        <v>40</v>
      </c>
      <c r="Z129" t="s">
        <v>40</v>
      </c>
      <c r="AA129" t="s">
        <v>40</v>
      </c>
      <c r="AB129">
        <v>2</v>
      </c>
      <c r="AC129" t="s">
        <v>49</v>
      </c>
      <c r="AD129" t="s">
        <v>40</v>
      </c>
      <c r="AE129" t="s">
        <v>40</v>
      </c>
      <c r="AF129" t="s">
        <v>40</v>
      </c>
      <c r="AG129" t="s">
        <v>40</v>
      </c>
      <c r="AH129" t="s">
        <v>40</v>
      </c>
      <c r="AI129" t="s">
        <v>40</v>
      </c>
      <c r="AJ129" t="s">
        <v>40</v>
      </c>
      <c r="AK129" t="s">
        <v>40</v>
      </c>
      <c r="AL129" t="s">
        <v>40</v>
      </c>
      <c r="AM129" t="s">
        <v>40</v>
      </c>
    </row>
    <row r="130" spans="1:39" x14ac:dyDescent="0.2">
      <c r="A130" s="4" t="s">
        <v>545</v>
      </c>
      <c r="B130" s="4" t="s">
        <v>546</v>
      </c>
      <c r="C130" s="4" t="s">
        <v>1763</v>
      </c>
      <c r="D130" s="4" t="s">
        <v>225</v>
      </c>
      <c r="E130" s="4" t="s">
        <v>225</v>
      </c>
      <c r="F130" t="s">
        <v>434</v>
      </c>
      <c r="G130" t="s">
        <v>547</v>
      </c>
      <c r="H130" t="s">
        <v>548</v>
      </c>
      <c r="I130" t="s">
        <v>40</v>
      </c>
      <c r="J130" t="s">
        <v>40</v>
      </c>
      <c r="K130" t="s">
        <v>40</v>
      </c>
      <c r="L130" t="s">
        <v>40</v>
      </c>
      <c r="M130">
        <v>102.9</v>
      </c>
      <c r="N130">
        <v>200</v>
      </c>
      <c r="O130">
        <v>1</v>
      </c>
      <c r="P130">
        <v>0</v>
      </c>
      <c r="Q130" t="s">
        <v>77</v>
      </c>
      <c r="R130" t="b">
        <v>0</v>
      </c>
      <c r="S130" t="s">
        <v>59</v>
      </c>
      <c r="T130" s="1">
        <v>44956</v>
      </c>
      <c r="U130" t="s">
        <v>229</v>
      </c>
      <c r="V130" s="2">
        <v>44588.785451388918</v>
      </c>
      <c r="W130" t="s">
        <v>40</v>
      </c>
      <c r="X130">
        <v>0</v>
      </c>
      <c r="Y130" t="s">
        <v>40</v>
      </c>
      <c r="Z130" t="s">
        <v>40</v>
      </c>
      <c r="AA130" t="s">
        <v>40</v>
      </c>
      <c r="AB130">
        <v>1</v>
      </c>
      <c r="AC130" t="s">
        <v>49</v>
      </c>
      <c r="AD130" t="s">
        <v>40</v>
      </c>
      <c r="AE130" t="s">
        <v>40</v>
      </c>
      <c r="AF130" t="s">
        <v>40</v>
      </c>
      <c r="AG130" t="s">
        <v>40</v>
      </c>
      <c r="AH130" t="s">
        <v>40</v>
      </c>
      <c r="AI130" t="s">
        <v>40</v>
      </c>
      <c r="AJ130" t="s">
        <v>40</v>
      </c>
      <c r="AK130" t="s">
        <v>40</v>
      </c>
      <c r="AL130" t="s">
        <v>40</v>
      </c>
      <c r="AM130" t="s">
        <v>40</v>
      </c>
    </row>
    <row r="131" spans="1:39" x14ac:dyDescent="0.2">
      <c r="A131" s="4" t="s">
        <v>549</v>
      </c>
      <c r="B131" s="4" t="s">
        <v>1589</v>
      </c>
      <c r="C131" s="4" t="s">
        <v>550</v>
      </c>
      <c r="D131" s="4" t="s">
        <v>225</v>
      </c>
      <c r="E131" s="4" t="s">
        <v>225</v>
      </c>
      <c r="F131" t="s">
        <v>551</v>
      </c>
      <c r="G131" t="s">
        <v>552</v>
      </c>
      <c r="H131" t="s">
        <v>553</v>
      </c>
      <c r="I131" t="s">
        <v>40</v>
      </c>
      <c r="J131" t="s">
        <v>40</v>
      </c>
      <c r="K131" t="s">
        <v>40</v>
      </c>
      <c r="L131" t="s">
        <v>40</v>
      </c>
      <c r="M131">
        <v>56.34</v>
      </c>
      <c r="N131">
        <v>200</v>
      </c>
      <c r="O131">
        <v>2</v>
      </c>
      <c r="P131">
        <v>30</v>
      </c>
      <c r="Q131" t="s">
        <v>77</v>
      </c>
      <c r="R131" t="b">
        <v>0</v>
      </c>
      <c r="S131" t="s">
        <v>40</v>
      </c>
      <c r="T131" s="1">
        <v>44996</v>
      </c>
      <c r="U131" t="s">
        <v>229</v>
      </c>
      <c r="V131" s="2">
        <v>44603.567430544179</v>
      </c>
      <c r="W131" t="s">
        <v>40</v>
      </c>
      <c r="X131">
        <v>0</v>
      </c>
      <c r="Y131" t="s">
        <v>40</v>
      </c>
      <c r="Z131" t="s">
        <v>40</v>
      </c>
      <c r="AA131" t="s">
        <v>40</v>
      </c>
      <c r="AB131">
        <v>2</v>
      </c>
      <c r="AC131" t="s">
        <v>49</v>
      </c>
      <c r="AD131" t="s">
        <v>40</v>
      </c>
      <c r="AE131" t="s">
        <v>40</v>
      </c>
      <c r="AF131" t="s">
        <v>40</v>
      </c>
      <c r="AG131" t="s">
        <v>40</v>
      </c>
      <c r="AH131" t="s">
        <v>40</v>
      </c>
      <c r="AI131" t="s">
        <v>40</v>
      </c>
      <c r="AJ131" t="s">
        <v>40</v>
      </c>
      <c r="AK131" t="s">
        <v>40</v>
      </c>
      <c r="AL131" t="s">
        <v>40</v>
      </c>
      <c r="AM131" t="s">
        <v>40</v>
      </c>
    </row>
    <row r="132" spans="1:39" x14ac:dyDescent="0.2">
      <c r="A132" s="4" t="s">
        <v>554</v>
      </c>
      <c r="B132" s="4" t="s">
        <v>555</v>
      </c>
      <c r="C132" s="4" t="s">
        <v>1764</v>
      </c>
      <c r="D132" s="4" t="s">
        <v>556</v>
      </c>
      <c r="E132" s="4" t="s">
        <v>51</v>
      </c>
      <c r="F132" t="s">
        <v>163</v>
      </c>
      <c r="G132" t="s">
        <v>557</v>
      </c>
      <c r="H132" t="s">
        <v>558</v>
      </c>
      <c r="I132" t="s">
        <v>40</v>
      </c>
      <c r="J132" t="s">
        <v>40</v>
      </c>
      <c r="K132" t="s">
        <v>40</v>
      </c>
      <c r="L132" t="s">
        <v>40</v>
      </c>
      <c r="M132">
        <v>31.25</v>
      </c>
      <c r="N132">
        <v>200</v>
      </c>
      <c r="O132">
        <v>1</v>
      </c>
      <c r="P132">
        <v>0</v>
      </c>
      <c r="Q132" t="s">
        <v>77</v>
      </c>
      <c r="R132" t="b">
        <v>0</v>
      </c>
      <c r="S132" t="s">
        <v>40</v>
      </c>
      <c r="T132" s="1">
        <v>44951</v>
      </c>
      <c r="U132" t="s">
        <v>229</v>
      </c>
      <c r="V132" s="2">
        <v>44615.608275451232</v>
      </c>
      <c r="W132" t="s">
        <v>40</v>
      </c>
      <c r="X132">
        <v>0</v>
      </c>
      <c r="Y132" t="s">
        <v>40</v>
      </c>
      <c r="Z132" t="s">
        <v>40</v>
      </c>
      <c r="AA132" t="s">
        <v>40</v>
      </c>
      <c r="AB132">
        <v>1</v>
      </c>
      <c r="AC132" t="s">
        <v>49</v>
      </c>
      <c r="AD132" t="s">
        <v>40</v>
      </c>
      <c r="AE132" t="s">
        <v>40</v>
      </c>
      <c r="AF132" t="s">
        <v>40</v>
      </c>
      <c r="AG132" t="s">
        <v>40</v>
      </c>
      <c r="AH132" t="s">
        <v>40</v>
      </c>
      <c r="AI132" t="s">
        <v>40</v>
      </c>
      <c r="AJ132" t="s">
        <v>40</v>
      </c>
      <c r="AK132" t="s">
        <v>40</v>
      </c>
      <c r="AL132" t="s">
        <v>40</v>
      </c>
      <c r="AM132" t="s">
        <v>40</v>
      </c>
    </row>
    <row r="133" spans="1:39" x14ac:dyDescent="0.2">
      <c r="A133" s="4" t="s">
        <v>559</v>
      </c>
      <c r="B133" s="4" t="s">
        <v>560</v>
      </c>
      <c r="C133" s="4" t="s">
        <v>62</v>
      </c>
      <c r="D133" s="4" t="s">
        <v>40</v>
      </c>
      <c r="E133" s="4" t="s">
        <v>40</v>
      </c>
      <c r="F133" t="s">
        <v>40</v>
      </c>
      <c r="G133" t="s">
        <v>559</v>
      </c>
      <c r="H133" t="s">
        <v>288</v>
      </c>
      <c r="I133" t="s">
        <v>40</v>
      </c>
      <c r="J133" t="s">
        <v>40</v>
      </c>
      <c r="K133" t="s">
        <v>40</v>
      </c>
      <c r="L133" t="s">
        <v>40</v>
      </c>
      <c r="M133">
        <v>0</v>
      </c>
      <c r="N133">
        <v>200</v>
      </c>
      <c r="O133">
        <v>2</v>
      </c>
      <c r="P133">
        <v>30</v>
      </c>
      <c r="Q133" t="s">
        <v>77</v>
      </c>
      <c r="R133" t="b">
        <v>0</v>
      </c>
      <c r="S133" t="s">
        <v>40</v>
      </c>
      <c r="T133" s="1" t="s">
        <v>49</v>
      </c>
      <c r="U133" t="s">
        <v>229</v>
      </c>
      <c r="V133" s="2">
        <v>44635.456863426138</v>
      </c>
      <c r="W133" t="s">
        <v>40</v>
      </c>
      <c r="X133">
        <v>0</v>
      </c>
      <c r="Y133" t="s">
        <v>40</v>
      </c>
      <c r="Z133" t="s">
        <v>40</v>
      </c>
      <c r="AA133" t="s">
        <v>40</v>
      </c>
      <c r="AB133">
        <v>1</v>
      </c>
      <c r="AC133" t="s">
        <v>49</v>
      </c>
      <c r="AD133" t="s">
        <v>40</v>
      </c>
      <c r="AE133" t="s">
        <v>40</v>
      </c>
      <c r="AF133" t="s">
        <v>40</v>
      </c>
      <c r="AG133" t="s">
        <v>40</v>
      </c>
      <c r="AH133" t="s">
        <v>40</v>
      </c>
      <c r="AI133" t="s">
        <v>40</v>
      </c>
      <c r="AJ133" t="s">
        <v>40</v>
      </c>
      <c r="AK133" t="s">
        <v>40</v>
      </c>
      <c r="AL133" t="s">
        <v>40</v>
      </c>
      <c r="AM133" t="s">
        <v>40</v>
      </c>
    </row>
    <row r="134" spans="1:39" x14ac:dyDescent="0.2">
      <c r="A134" s="4" t="s">
        <v>561</v>
      </c>
      <c r="B134" s="4" t="s">
        <v>1590</v>
      </c>
      <c r="C134" s="4" t="s">
        <v>562</v>
      </c>
      <c r="D134" s="4" t="s">
        <v>51</v>
      </c>
      <c r="E134" s="4" t="s">
        <v>40</v>
      </c>
      <c r="F134" t="s">
        <v>539</v>
      </c>
      <c r="G134" t="s">
        <v>563</v>
      </c>
      <c r="H134" t="s">
        <v>564</v>
      </c>
      <c r="I134" t="s">
        <v>40</v>
      </c>
      <c r="J134" t="s">
        <v>40</v>
      </c>
      <c r="K134" t="s">
        <v>40</v>
      </c>
      <c r="L134" t="s">
        <v>40</v>
      </c>
      <c r="M134">
        <v>0</v>
      </c>
      <c r="N134">
        <v>200</v>
      </c>
      <c r="O134">
        <v>1</v>
      </c>
      <c r="P134">
        <v>0</v>
      </c>
      <c r="Q134" t="s">
        <v>77</v>
      </c>
      <c r="R134" t="b">
        <v>0</v>
      </c>
      <c r="S134" t="s">
        <v>40</v>
      </c>
      <c r="T134" s="1">
        <v>44951</v>
      </c>
      <c r="U134" t="s">
        <v>229</v>
      </c>
      <c r="V134" s="2">
        <v>44648.388819444459</v>
      </c>
      <c r="W134" t="s">
        <v>40</v>
      </c>
      <c r="X134">
        <v>0</v>
      </c>
      <c r="Y134" t="s">
        <v>40</v>
      </c>
      <c r="Z134" t="s">
        <v>40</v>
      </c>
      <c r="AA134" t="s">
        <v>40</v>
      </c>
      <c r="AB134">
        <v>2</v>
      </c>
      <c r="AC134" t="s">
        <v>49</v>
      </c>
      <c r="AD134" t="s">
        <v>40</v>
      </c>
      <c r="AE134" t="s">
        <v>40</v>
      </c>
      <c r="AF134" t="s">
        <v>40</v>
      </c>
      <c r="AG134" t="s">
        <v>40</v>
      </c>
      <c r="AH134" t="s">
        <v>40</v>
      </c>
      <c r="AI134" t="s">
        <v>40</v>
      </c>
      <c r="AJ134" t="s">
        <v>40</v>
      </c>
      <c r="AK134" t="s">
        <v>40</v>
      </c>
      <c r="AL134" t="s">
        <v>40</v>
      </c>
      <c r="AM134" t="s">
        <v>40</v>
      </c>
    </row>
    <row r="135" spans="1:39" x14ac:dyDescent="0.2">
      <c r="A135" s="4" t="s">
        <v>565</v>
      </c>
      <c r="B135" s="4" t="s">
        <v>566</v>
      </c>
      <c r="C135" s="4" t="s">
        <v>1765</v>
      </c>
      <c r="D135" s="4" t="s">
        <v>51</v>
      </c>
      <c r="E135" s="4" t="s">
        <v>51</v>
      </c>
      <c r="F135" t="s">
        <v>40</v>
      </c>
      <c r="G135" t="s">
        <v>567</v>
      </c>
      <c r="H135" t="s">
        <v>568</v>
      </c>
      <c r="I135" t="s">
        <v>40</v>
      </c>
      <c r="J135" t="s">
        <v>40</v>
      </c>
      <c r="K135" t="s">
        <v>40</v>
      </c>
      <c r="L135" t="s">
        <v>40</v>
      </c>
      <c r="M135">
        <v>4.9000000000000004</v>
      </c>
      <c r="N135">
        <v>200</v>
      </c>
      <c r="O135">
        <v>1</v>
      </c>
      <c r="P135">
        <v>0</v>
      </c>
      <c r="Q135" t="s">
        <v>77</v>
      </c>
      <c r="R135" t="b">
        <v>0</v>
      </c>
      <c r="S135" t="s">
        <v>46</v>
      </c>
      <c r="T135" s="1">
        <v>45013</v>
      </c>
      <c r="U135" t="s">
        <v>229</v>
      </c>
      <c r="V135" s="2">
        <v>44648.674201377202</v>
      </c>
      <c r="W135" t="s">
        <v>40</v>
      </c>
      <c r="X135">
        <v>0</v>
      </c>
      <c r="Y135" t="s">
        <v>40</v>
      </c>
      <c r="Z135" t="s">
        <v>40</v>
      </c>
      <c r="AA135" t="s">
        <v>40</v>
      </c>
      <c r="AB135">
        <v>1</v>
      </c>
      <c r="AC135" t="s">
        <v>49</v>
      </c>
      <c r="AD135" t="s">
        <v>40</v>
      </c>
      <c r="AE135" t="s">
        <v>40</v>
      </c>
      <c r="AF135" t="s">
        <v>40</v>
      </c>
      <c r="AG135" t="s">
        <v>40</v>
      </c>
      <c r="AH135" t="s">
        <v>40</v>
      </c>
      <c r="AI135" t="s">
        <v>40</v>
      </c>
      <c r="AJ135" t="s">
        <v>40</v>
      </c>
      <c r="AK135" t="s">
        <v>40</v>
      </c>
      <c r="AL135" t="s">
        <v>40</v>
      </c>
      <c r="AM135" t="s">
        <v>40</v>
      </c>
    </row>
    <row r="136" spans="1:39" x14ac:dyDescent="0.2">
      <c r="A136" s="4" t="s">
        <v>569</v>
      </c>
      <c r="B136" s="4" t="s">
        <v>570</v>
      </c>
      <c r="C136" s="4" t="s">
        <v>1766</v>
      </c>
      <c r="D136" s="4" t="s">
        <v>62</v>
      </c>
      <c r="E136" s="4" t="s">
        <v>51</v>
      </c>
      <c r="F136" t="s">
        <v>40</v>
      </c>
      <c r="G136" t="s">
        <v>571</v>
      </c>
      <c r="H136" t="s">
        <v>572</v>
      </c>
      <c r="I136" t="s">
        <v>40</v>
      </c>
      <c r="J136" t="s">
        <v>40</v>
      </c>
      <c r="K136" t="s">
        <v>40</v>
      </c>
      <c r="L136" t="s">
        <v>40</v>
      </c>
      <c r="M136">
        <v>0</v>
      </c>
      <c r="N136">
        <v>200</v>
      </c>
      <c r="O136">
        <v>1</v>
      </c>
      <c r="P136">
        <v>0</v>
      </c>
      <c r="Q136" t="s">
        <v>77</v>
      </c>
      <c r="R136" t="b">
        <v>0</v>
      </c>
      <c r="S136" t="s">
        <v>46</v>
      </c>
      <c r="T136" s="1" t="s">
        <v>49</v>
      </c>
      <c r="U136" t="s">
        <v>229</v>
      </c>
      <c r="V136" s="2">
        <v>44676.497916666791</v>
      </c>
      <c r="W136" t="s">
        <v>40</v>
      </c>
      <c r="X136">
        <v>0</v>
      </c>
      <c r="Y136" t="s">
        <v>40</v>
      </c>
      <c r="Z136" t="s">
        <v>40</v>
      </c>
      <c r="AA136" t="s">
        <v>40</v>
      </c>
      <c r="AB136">
        <v>1</v>
      </c>
      <c r="AC136" t="s">
        <v>49</v>
      </c>
      <c r="AD136" t="s">
        <v>40</v>
      </c>
      <c r="AE136" t="s">
        <v>40</v>
      </c>
      <c r="AF136" t="s">
        <v>40</v>
      </c>
      <c r="AG136" t="s">
        <v>40</v>
      </c>
      <c r="AH136" t="s">
        <v>40</v>
      </c>
      <c r="AI136" t="s">
        <v>40</v>
      </c>
      <c r="AJ136" t="s">
        <v>40</v>
      </c>
      <c r="AK136" t="s">
        <v>40</v>
      </c>
      <c r="AL136" t="s">
        <v>40</v>
      </c>
      <c r="AM136" t="s">
        <v>40</v>
      </c>
    </row>
    <row r="137" spans="1:39" x14ac:dyDescent="0.2">
      <c r="A137" s="4" t="s">
        <v>573</v>
      </c>
      <c r="B137" s="4" t="s">
        <v>574</v>
      </c>
      <c r="C137" s="4" t="s">
        <v>1767</v>
      </c>
      <c r="D137" s="4" t="s">
        <v>51</v>
      </c>
      <c r="E137" s="4" t="s">
        <v>51</v>
      </c>
      <c r="F137" t="s">
        <v>40</v>
      </c>
      <c r="G137" t="s">
        <v>575</v>
      </c>
      <c r="H137" t="s">
        <v>576</v>
      </c>
      <c r="I137" t="s">
        <v>40</v>
      </c>
      <c r="J137" t="s">
        <v>40</v>
      </c>
      <c r="K137" t="s">
        <v>40</v>
      </c>
      <c r="L137" t="s">
        <v>40</v>
      </c>
      <c r="M137">
        <v>244.94</v>
      </c>
      <c r="N137">
        <v>500</v>
      </c>
      <c r="O137">
        <v>1</v>
      </c>
      <c r="P137">
        <v>0</v>
      </c>
      <c r="Q137" t="s">
        <v>77</v>
      </c>
      <c r="R137" t="b">
        <v>0</v>
      </c>
      <c r="S137" t="s">
        <v>46</v>
      </c>
      <c r="T137" s="1">
        <v>45317</v>
      </c>
      <c r="U137" t="s">
        <v>229</v>
      </c>
      <c r="V137" s="2">
        <v>44683.479456018656</v>
      </c>
      <c r="W137" t="s">
        <v>40</v>
      </c>
      <c r="X137">
        <v>0</v>
      </c>
      <c r="Y137" t="s">
        <v>40</v>
      </c>
      <c r="Z137" t="s">
        <v>40</v>
      </c>
      <c r="AA137" t="s">
        <v>40</v>
      </c>
      <c r="AB137">
        <v>1</v>
      </c>
      <c r="AC137" t="s">
        <v>49</v>
      </c>
      <c r="AD137" t="s">
        <v>40</v>
      </c>
      <c r="AE137" t="s">
        <v>40</v>
      </c>
      <c r="AF137" t="s">
        <v>40</v>
      </c>
      <c r="AG137" t="s">
        <v>40</v>
      </c>
      <c r="AH137" t="s">
        <v>40</v>
      </c>
      <c r="AI137" t="s">
        <v>40</v>
      </c>
      <c r="AJ137" t="s">
        <v>40</v>
      </c>
      <c r="AK137" t="s">
        <v>40</v>
      </c>
      <c r="AL137" t="s">
        <v>40</v>
      </c>
      <c r="AM137" t="s">
        <v>40</v>
      </c>
    </row>
    <row r="138" spans="1:39" x14ac:dyDescent="0.2">
      <c r="A138" s="4" t="s">
        <v>577</v>
      </c>
      <c r="B138" s="4" t="s">
        <v>578</v>
      </c>
      <c r="C138" s="4" t="s">
        <v>1768</v>
      </c>
      <c r="D138" s="4" t="s">
        <v>40</v>
      </c>
      <c r="E138" s="4" t="s">
        <v>336</v>
      </c>
      <c r="F138" t="s">
        <v>579</v>
      </c>
      <c r="G138" t="s">
        <v>580</v>
      </c>
      <c r="H138" t="s">
        <v>581</v>
      </c>
      <c r="I138" t="s">
        <v>40</v>
      </c>
      <c r="J138" t="s">
        <v>40</v>
      </c>
      <c r="K138" t="s">
        <v>40</v>
      </c>
      <c r="L138" t="s">
        <v>40</v>
      </c>
      <c r="M138">
        <v>43.1</v>
      </c>
      <c r="N138">
        <v>200</v>
      </c>
      <c r="O138">
        <v>1</v>
      </c>
      <c r="P138">
        <v>0</v>
      </c>
      <c r="Q138" t="s">
        <v>77</v>
      </c>
      <c r="R138" t="b">
        <v>0</v>
      </c>
      <c r="S138" t="s">
        <v>46</v>
      </c>
      <c r="T138" s="1">
        <v>45190</v>
      </c>
      <c r="U138" t="s">
        <v>229</v>
      </c>
      <c r="V138" s="2">
        <v>44692.468032407574</v>
      </c>
      <c r="W138" t="s">
        <v>40</v>
      </c>
      <c r="X138">
        <v>0</v>
      </c>
      <c r="Y138" t="s">
        <v>40</v>
      </c>
      <c r="Z138" t="s">
        <v>40</v>
      </c>
      <c r="AA138" t="s">
        <v>40</v>
      </c>
      <c r="AB138">
        <v>0</v>
      </c>
      <c r="AC138" t="s">
        <v>49</v>
      </c>
      <c r="AD138" t="s">
        <v>40</v>
      </c>
      <c r="AE138" t="s">
        <v>40</v>
      </c>
      <c r="AF138" t="s">
        <v>40</v>
      </c>
      <c r="AG138" t="s">
        <v>40</v>
      </c>
      <c r="AH138" t="s">
        <v>40</v>
      </c>
      <c r="AI138" t="s">
        <v>40</v>
      </c>
      <c r="AJ138" t="s">
        <v>40</v>
      </c>
      <c r="AK138" t="s">
        <v>40</v>
      </c>
      <c r="AL138" t="s">
        <v>40</v>
      </c>
      <c r="AM138" t="s">
        <v>40</v>
      </c>
    </row>
    <row r="139" spans="1:39" x14ac:dyDescent="0.2">
      <c r="A139" s="4" t="s">
        <v>582</v>
      </c>
      <c r="B139" s="4" t="s">
        <v>583</v>
      </c>
      <c r="C139" s="4" t="s">
        <v>584</v>
      </c>
      <c r="D139" s="4" t="s">
        <v>40</v>
      </c>
      <c r="E139" s="4" t="s">
        <v>40</v>
      </c>
      <c r="F139" t="s">
        <v>40</v>
      </c>
      <c r="G139" t="s">
        <v>582</v>
      </c>
      <c r="H139" t="s">
        <v>40</v>
      </c>
      <c r="I139" t="s">
        <v>40</v>
      </c>
      <c r="J139" t="s">
        <v>40</v>
      </c>
      <c r="K139" t="s">
        <v>40</v>
      </c>
      <c r="L139" t="s">
        <v>40</v>
      </c>
      <c r="M139">
        <v>110.7</v>
      </c>
      <c r="N139">
        <v>200</v>
      </c>
      <c r="O139">
        <v>1</v>
      </c>
      <c r="P139">
        <v>0</v>
      </c>
      <c r="Q139" t="s">
        <v>77</v>
      </c>
      <c r="R139" t="b">
        <v>0</v>
      </c>
      <c r="S139" t="s">
        <v>40</v>
      </c>
      <c r="T139" s="1">
        <v>45661</v>
      </c>
      <c r="U139" t="s">
        <v>229</v>
      </c>
      <c r="V139" s="2">
        <v>44693.389108784497</v>
      </c>
      <c r="W139" t="s">
        <v>40</v>
      </c>
      <c r="X139">
        <v>0</v>
      </c>
      <c r="Y139" t="s">
        <v>40</v>
      </c>
      <c r="Z139" t="s">
        <v>40</v>
      </c>
      <c r="AA139" t="s">
        <v>40</v>
      </c>
      <c r="AB139">
        <v>0</v>
      </c>
      <c r="AC139" t="s">
        <v>49</v>
      </c>
      <c r="AD139" t="s">
        <v>40</v>
      </c>
      <c r="AE139" t="s">
        <v>40</v>
      </c>
      <c r="AF139" t="s">
        <v>40</v>
      </c>
      <c r="AG139" t="s">
        <v>40</v>
      </c>
      <c r="AH139" t="s">
        <v>40</v>
      </c>
      <c r="AI139" t="s">
        <v>40</v>
      </c>
      <c r="AJ139" t="s">
        <v>40</v>
      </c>
      <c r="AK139" t="s">
        <v>40</v>
      </c>
      <c r="AL139" t="s">
        <v>40</v>
      </c>
      <c r="AM139" t="s">
        <v>40</v>
      </c>
    </row>
    <row r="140" spans="1:39" x14ac:dyDescent="0.2">
      <c r="A140" s="4" t="s">
        <v>585</v>
      </c>
      <c r="B140" s="4" t="s">
        <v>586</v>
      </c>
      <c r="C140" s="4" t="s">
        <v>587</v>
      </c>
      <c r="D140" s="4" t="s">
        <v>225</v>
      </c>
      <c r="E140" s="4" t="s">
        <v>225</v>
      </c>
      <c r="F140" t="s">
        <v>588</v>
      </c>
      <c r="G140" t="s">
        <v>589</v>
      </c>
      <c r="H140" t="s">
        <v>590</v>
      </c>
      <c r="I140" t="s">
        <v>40</v>
      </c>
      <c r="J140" t="s">
        <v>40</v>
      </c>
      <c r="K140" t="s">
        <v>40</v>
      </c>
      <c r="L140" t="s">
        <v>40</v>
      </c>
      <c r="M140">
        <v>0.01</v>
      </c>
      <c r="N140">
        <v>200</v>
      </c>
      <c r="O140">
        <v>1</v>
      </c>
      <c r="P140">
        <v>0</v>
      </c>
      <c r="Q140" t="s">
        <v>77</v>
      </c>
      <c r="R140" t="b">
        <v>0</v>
      </c>
      <c r="S140" t="s">
        <v>46</v>
      </c>
      <c r="T140">
        <v>44956</v>
      </c>
      <c r="U140" t="s">
        <v>229</v>
      </c>
      <c r="V140" s="2">
        <v>44757.425046296325</v>
      </c>
      <c r="W140" t="s">
        <v>40</v>
      </c>
      <c r="X140">
        <v>0</v>
      </c>
      <c r="Y140" t="s">
        <v>40</v>
      </c>
      <c r="Z140" t="s">
        <v>40</v>
      </c>
      <c r="AA140" t="s">
        <v>40</v>
      </c>
      <c r="AB140">
        <v>2</v>
      </c>
      <c r="AC140">
        <v>37804</v>
      </c>
      <c r="AD140" t="s">
        <v>40</v>
      </c>
      <c r="AE140" t="s">
        <v>40</v>
      </c>
      <c r="AF140" t="s">
        <v>40</v>
      </c>
      <c r="AG140" t="s">
        <v>40</v>
      </c>
      <c r="AH140" t="s">
        <v>40</v>
      </c>
      <c r="AI140" t="s">
        <v>40</v>
      </c>
      <c r="AJ140" t="s">
        <v>40</v>
      </c>
      <c r="AK140" t="s">
        <v>40</v>
      </c>
      <c r="AL140" t="s">
        <v>40</v>
      </c>
      <c r="AM140" t="s">
        <v>40</v>
      </c>
    </row>
    <row r="141" spans="1:39" x14ac:dyDescent="0.2">
      <c r="A141" s="4" t="s">
        <v>591</v>
      </c>
      <c r="B141" s="4" t="s">
        <v>1591</v>
      </c>
      <c r="C141" s="4" t="s">
        <v>1769</v>
      </c>
      <c r="D141" s="4" t="s">
        <v>225</v>
      </c>
      <c r="E141" s="4" t="s">
        <v>40</v>
      </c>
      <c r="F141" t="s">
        <v>243</v>
      </c>
      <c r="G141" t="s">
        <v>592</v>
      </c>
      <c r="H141" t="s">
        <v>593</v>
      </c>
      <c r="I141" t="s">
        <v>40</v>
      </c>
      <c r="J141" t="s">
        <v>40</v>
      </c>
      <c r="K141" t="s">
        <v>40</v>
      </c>
      <c r="L141" t="s">
        <v>40</v>
      </c>
      <c r="M141">
        <v>2.35</v>
      </c>
      <c r="N141">
        <v>200</v>
      </c>
      <c r="O141">
        <v>2</v>
      </c>
      <c r="P141">
        <v>30</v>
      </c>
      <c r="Q141" t="s">
        <v>77</v>
      </c>
      <c r="R141" t="b">
        <v>0</v>
      </c>
      <c r="S141" t="s">
        <v>40</v>
      </c>
      <c r="T141" s="1" t="s">
        <v>49</v>
      </c>
      <c r="U141" t="s">
        <v>229</v>
      </c>
      <c r="V141" s="2">
        <v>44764.638692118227</v>
      </c>
      <c r="W141" t="s">
        <v>40</v>
      </c>
      <c r="X141">
        <v>0</v>
      </c>
      <c r="Y141" t="s">
        <v>40</v>
      </c>
      <c r="Z141" t="s">
        <v>40</v>
      </c>
      <c r="AA141" t="s">
        <v>40</v>
      </c>
      <c r="AB141">
        <v>0</v>
      </c>
      <c r="AC141">
        <v>41732</v>
      </c>
      <c r="AD141" t="s">
        <v>40</v>
      </c>
      <c r="AE141" t="s">
        <v>40</v>
      </c>
      <c r="AF141" t="s">
        <v>40</v>
      </c>
      <c r="AG141" t="s">
        <v>40</v>
      </c>
      <c r="AH141" t="s">
        <v>40</v>
      </c>
      <c r="AI141" t="s">
        <v>40</v>
      </c>
      <c r="AJ141" t="s">
        <v>40</v>
      </c>
      <c r="AK141" t="s">
        <v>40</v>
      </c>
      <c r="AL141" t="s">
        <v>40</v>
      </c>
      <c r="AM141" t="s">
        <v>40</v>
      </c>
    </row>
    <row r="142" spans="1:39" x14ac:dyDescent="0.2">
      <c r="A142" s="4" t="s">
        <v>594</v>
      </c>
      <c r="B142" s="4" t="s">
        <v>1592</v>
      </c>
      <c r="C142" s="4" t="s">
        <v>40</v>
      </c>
      <c r="D142" s="4" t="s">
        <v>40</v>
      </c>
      <c r="E142" s="4" t="s">
        <v>40</v>
      </c>
      <c r="F142" t="s">
        <v>40</v>
      </c>
      <c r="G142" t="s">
        <v>595</v>
      </c>
      <c r="H142" t="s">
        <v>596</v>
      </c>
      <c r="I142" t="s">
        <v>40</v>
      </c>
      <c r="J142" t="s">
        <v>40</v>
      </c>
      <c r="K142" t="s">
        <v>40</v>
      </c>
      <c r="L142" t="s">
        <v>40</v>
      </c>
      <c r="M142">
        <v>7.3500000000000005</v>
      </c>
      <c r="N142">
        <v>200</v>
      </c>
      <c r="O142">
        <v>1</v>
      </c>
      <c r="P142">
        <v>0</v>
      </c>
      <c r="Q142" t="s">
        <v>77</v>
      </c>
      <c r="R142" t="b">
        <v>0</v>
      </c>
      <c r="S142" t="s">
        <v>87</v>
      </c>
      <c r="T142" s="1">
        <v>44977</v>
      </c>
      <c r="U142" t="s">
        <v>229</v>
      </c>
      <c r="V142" s="2">
        <v>44789.711979154963</v>
      </c>
      <c r="W142" t="s">
        <v>40</v>
      </c>
      <c r="X142">
        <v>0</v>
      </c>
      <c r="Y142" t="s">
        <v>40</v>
      </c>
      <c r="Z142" t="s">
        <v>40</v>
      </c>
      <c r="AA142" t="s">
        <v>40</v>
      </c>
      <c r="AB142">
        <v>0</v>
      </c>
      <c r="AC142">
        <v>42825</v>
      </c>
      <c r="AD142" t="s">
        <v>40</v>
      </c>
      <c r="AE142" t="s">
        <v>40</v>
      </c>
      <c r="AF142" t="s">
        <v>40</v>
      </c>
      <c r="AG142" t="s">
        <v>40</v>
      </c>
      <c r="AH142" t="s">
        <v>40</v>
      </c>
      <c r="AI142" t="s">
        <v>40</v>
      </c>
      <c r="AJ142" t="s">
        <v>40</v>
      </c>
      <c r="AK142" t="s">
        <v>40</v>
      </c>
      <c r="AL142" t="s">
        <v>40</v>
      </c>
      <c r="AM142" t="s">
        <v>40</v>
      </c>
    </row>
    <row r="143" spans="1:39" x14ac:dyDescent="0.2">
      <c r="A143" s="4" t="s">
        <v>597</v>
      </c>
      <c r="B143" s="4" t="s">
        <v>1593</v>
      </c>
      <c r="C143" s="4" t="s">
        <v>40</v>
      </c>
      <c r="D143" s="4" t="s">
        <v>40</v>
      </c>
      <c r="E143" s="4" t="s">
        <v>40</v>
      </c>
      <c r="F143" t="s">
        <v>40</v>
      </c>
      <c r="G143" t="s">
        <v>598</v>
      </c>
      <c r="H143" t="s">
        <v>599</v>
      </c>
      <c r="I143" t="s">
        <v>40</v>
      </c>
      <c r="J143" t="s">
        <v>40</v>
      </c>
      <c r="K143" t="s">
        <v>40</v>
      </c>
      <c r="L143" t="s">
        <v>40</v>
      </c>
      <c r="M143">
        <v>259.68</v>
      </c>
      <c r="N143">
        <v>200</v>
      </c>
      <c r="O143">
        <v>1</v>
      </c>
      <c r="P143">
        <v>0</v>
      </c>
      <c r="Q143" t="s">
        <v>77</v>
      </c>
      <c r="R143" t="b">
        <v>0</v>
      </c>
      <c r="S143" t="s">
        <v>46</v>
      </c>
      <c r="T143" s="1">
        <v>45301</v>
      </c>
      <c r="U143" t="s">
        <v>229</v>
      </c>
      <c r="V143" s="2">
        <v>44795.614004629664</v>
      </c>
      <c r="W143" t="s">
        <v>40</v>
      </c>
      <c r="X143">
        <v>0</v>
      </c>
      <c r="Y143" t="s">
        <v>40</v>
      </c>
      <c r="Z143" t="s">
        <v>40</v>
      </c>
      <c r="AA143" t="s">
        <v>40</v>
      </c>
      <c r="AB143">
        <v>0</v>
      </c>
      <c r="AC143">
        <v>41072</v>
      </c>
      <c r="AD143" t="s">
        <v>40</v>
      </c>
      <c r="AE143" t="s">
        <v>40</v>
      </c>
      <c r="AF143" t="s">
        <v>40</v>
      </c>
      <c r="AG143" t="s">
        <v>40</v>
      </c>
      <c r="AH143" t="s">
        <v>40</v>
      </c>
      <c r="AI143" t="s">
        <v>40</v>
      </c>
      <c r="AJ143" t="s">
        <v>40</v>
      </c>
      <c r="AK143" t="s">
        <v>40</v>
      </c>
      <c r="AL143" t="s">
        <v>40</v>
      </c>
      <c r="AM143" t="s">
        <v>40</v>
      </c>
    </row>
    <row r="144" spans="1:39" x14ac:dyDescent="0.2">
      <c r="A144" s="4" t="s">
        <v>600</v>
      </c>
      <c r="B144" s="4" t="s">
        <v>1594</v>
      </c>
      <c r="C144" s="4" t="s">
        <v>601</v>
      </c>
      <c r="D144" s="4" t="s">
        <v>40</v>
      </c>
      <c r="E144" s="4" t="s">
        <v>40</v>
      </c>
      <c r="F144" t="s">
        <v>40</v>
      </c>
      <c r="G144" t="s">
        <v>602</v>
      </c>
      <c r="H144" t="s">
        <v>603</v>
      </c>
      <c r="I144" t="s">
        <v>40</v>
      </c>
      <c r="J144" t="s">
        <v>40</v>
      </c>
      <c r="K144" t="s">
        <v>40</v>
      </c>
      <c r="L144" t="s">
        <v>40</v>
      </c>
      <c r="M144">
        <v>47.2</v>
      </c>
      <c r="N144">
        <v>200</v>
      </c>
      <c r="O144">
        <v>1</v>
      </c>
      <c r="P144">
        <v>0</v>
      </c>
      <c r="Q144" t="s">
        <v>77</v>
      </c>
      <c r="R144" t="b">
        <v>0</v>
      </c>
      <c r="S144" t="s">
        <v>87</v>
      </c>
      <c r="T144" s="1">
        <v>45308</v>
      </c>
      <c r="U144" t="s">
        <v>229</v>
      </c>
      <c r="V144" s="2">
        <v>44796.465717592742</v>
      </c>
      <c r="W144" t="s">
        <v>40</v>
      </c>
      <c r="X144">
        <v>0</v>
      </c>
      <c r="Y144" t="s">
        <v>40</v>
      </c>
      <c r="Z144" t="s">
        <v>40</v>
      </c>
      <c r="AA144" t="s">
        <v>40</v>
      </c>
      <c r="AB144">
        <v>0</v>
      </c>
      <c r="AC144">
        <v>41981</v>
      </c>
      <c r="AD144" t="s">
        <v>40</v>
      </c>
      <c r="AE144" t="s">
        <v>40</v>
      </c>
      <c r="AF144" t="s">
        <v>40</v>
      </c>
      <c r="AG144" t="s">
        <v>40</v>
      </c>
      <c r="AH144" t="s">
        <v>40</v>
      </c>
      <c r="AI144" t="s">
        <v>40</v>
      </c>
      <c r="AJ144" t="s">
        <v>40</v>
      </c>
      <c r="AK144" t="s">
        <v>40</v>
      </c>
      <c r="AL144" t="s">
        <v>40</v>
      </c>
      <c r="AM144" t="s">
        <v>40</v>
      </c>
    </row>
    <row r="145" spans="1:39" x14ac:dyDescent="0.2">
      <c r="A145" s="4" t="s">
        <v>604</v>
      </c>
      <c r="B145" s="4" t="s">
        <v>1595</v>
      </c>
      <c r="C145" s="4" t="s">
        <v>40</v>
      </c>
      <c r="D145" s="4" t="s">
        <v>40</v>
      </c>
      <c r="E145" s="4" t="s">
        <v>40</v>
      </c>
      <c r="F145" t="s">
        <v>40</v>
      </c>
      <c r="G145" t="s">
        <v>605</v>
      </c>
      <c r="H145" t="s">
        <v>606</v>
      </c>
      <c r="I145" t="s">
        <v>40</v>
      </c>
      <c r="J145" t="s">
        <v>40</v>
      </c>
      <c r="K145" t="s">
        <v>40</v>
      </c>
      <c r="L145" t="s">
        <v>40</v>
      </c>
      <c r="M145">
        <v>4.9000000000000004</v>
      </c>
      <c r="N145">
        <v>200</v>
      </c>
      <c r="O145">
        <v>2</v>
      </c>
      <c r="P145">
        <v>30</v>
      </c>
      <c r="Q145" t="s">
        <v>77</v>
      </c>
      <c r="R145" t="b">
        <v>0</v>
      </c>
      <c r="S145" t="s">
        <v>87</v>
      </c>
      <c r="T145">
        <v>44953</v>
      </c>
      <c r="U145" t="s">
        <v>229</v>
      </c>
      <c r="V145" s="2">
        <v>44796.561793981586</v>
      </c>
      <c r="W145" t="s">
        <v>40</v>
      </c>
      <c r="X145">
        <v>0</v>
      </c>
      <c r="Y145" t="s">
        <v>40</v>
      </c>
      <c r="Z145" t="s">
        <v>40</v>
      </c>
      <c r="AA145" t="s">
        <v>40</v>
      </c>
      <c r="AB145">
        <v>0</v>
      </c>
      <c r="AC145">
        <v>40807</v>
      </c>
      <c r="AD145" t="s">
        <v>40</v>
      </c>
      <c r="AE145" t="s">
        <v>40</v>
      </c>
      <c r="AF145" t="s">
        <v>40</v>
      </c>
      <c r="AG145" t="s">
        <v>40</v>
      </c>
      <c r="AH145" t="s">
        <v>40</v>
      </c>
      <c r="AI145" t="s">
        <v>40</v>
      </c>
      <c r="AJ145" t="s">
        <v>40</v>
      </c>
      <c r="AK145" t="s">
        <v>40</v>
      </c>
      <c r="AL145" t="s">
        <v>40</v>
      </c>
      <c r="AM145" t="s">
        <v>40</v>
      </c>
    </row>
    <row r="146" spans="1:39" x14ac:dyDescent="0.2">
      <c r="A146" s="4" t="s">
        <v>607</v>
      </c>
      <c r="B146" s="4" t="s">
        <v>608</v>
      </c>
      <c r="C146" s="4" t="s">
        <v>40</v>
      </c>
      <c r="D146" s="4" t="s">
        <v>40</v>
      </c>
      <c r="E146" s="4" t="s">
        <v>40</v>
      </c>
      <c r="F146" t="s">
        <v>40</v>
      </c>
      <c r="G146" t="s">
        <v>609</v>
      </c>
      <c r="H146" t="s">
        <v>610</v>
      </c>
      <c r="I146" t="s">
        <v>40</v>
      </c>
      <c r="J146" t="s">
        <v>40</v>
      </c>
      <c r="K146" t="s">
        <v>40</v>
      </c>
      <c r="L146" t="s">
        <v>40</v>
      </c>
      <c r="M146">
        <v>49</v>
      </c>
      <c r="N146">
        <v>200</v>
      </c>
      <c r="O146">
        <v>2</v>
      </c>
      <c r="P146">
        <v>30</v>
      </c>
      <c r="Q146" t="s">
        <v>77</v>
      </c>
      <c r="R146" t="b">
        <v>0</v>
      </c>
      <c r="S146" t="s">
        <v>87</v>
      </c>
      <c r="T146" s="1">
        <v>44949</v>
      </c>
      <c r="U146" t="s">
        <v>229</v>
      </c>
      <c r="V146" s="2">
        <v>44796.723298611119</v>
      </c>
      <c r="W146" t="s">
        <v>40</v>
      </c>
      <c r="X146">
        <v>0</v>
      </c>
      <c r="Y146" t="s">
        <v>40</v>
      </c>
      <c r="Z146" t="s">
        <v>40</v>
      </c>
      <c r="AA146" t="s">
        <v>40</v>
      </c>
      <c r="AB146">
        <v>0</v>
      </c>
      <c r="AC146">
        <v>22733</v>
      </c>
      <c r="AD146" t="s">
        <v>40</v>
      </c>
      <c r="AE146" t="s">
        <v>40</v>
      </c>
      <c r="AF146" t="s">
        <v>40</v>
      </c>
      <c r="AG146" t="s">
        <v>40</v>
      </c>
      <c r="AH146" t="s">
        <v>40</v>
      </c>
      <c r="AI146" t="s">
        <v>40</v>
      </c>
      <c r="AJ146" t="s">
        <v>40</v>
      </c>
      <c r="AK146" t="s">
        <v>40</v>
      </c>
      <c r="AL146" t="s">
        <v>40</v>
      </c>
      <c r="AM146" t="s">
        <v>40</v>
      </c>
    </row>
    <row r="147" spans="1:39" x14ac:dyDescent="0.2">
      <c r="A147" s="4" t="s">
        <v>611</v>
      </c>
      <c r="B147" s="4" t="s">
        <v>1596</v>
      </c>
      <c r="C147" s="4" t="s">
        <v>1770</v>
      </c>
      <c r="D147" s="4" t="s">
        <v>40</v>
      </c>
      <c r="E147" s="4" t="s">
        <v>40</v>
      </c>
      <c r="F147" t="s">
        <v>40</v>
      </c>
      <c r="G147" t="s">
        <v>612</v>
      </c>
      <c r="H147" t="s">
        <v>613</v>
      </c>
      <c r="I147" t="s">
        <v>40</v>
      </c>
      <c r="J147" t="s">
        <v>40</v>
      </c>
      <c r="K147" t="s">
        <v>40</v>
      </c>
      <c r="L147" t="s">
        <v>40</v>
      </c>
      <c r="M147">
        <v>80.850000000000009</v>
      </c>
      <c r="N147">
        <v>200</v>
      </c>
      <c r="O147">
        <v>1</v>
      </c>
      <c r="P147">
        <v>0</v>
      </c>
      <c r="Q147" t="s">
        <v>77</v>
      </c>
      <c r="R147" t="b">
        <v>0</v>
      </c>
      <c r="S147" t="s">
        <v>40</v>
      </c>
      <c r="T147">
        <v>45604</v>
      </c>
      <c r="U147" t="s">
        <v>229</v>
      </c>
      <c r="V147" s="2">
        <v>44824.454467592761</v>
      </c>
      <c r="W147" t="s">
        <v>40</v>
      </c>
      <c r="X147">
        <v>0</v>
      </c>
      <c r="Y147" t="s">
        <v>40</v>
      </c>
      <c r="Z147" t="s">
        <v>40</v>
      </c>
      <c r="AA147" t="s">
        <v>40</v>
      </c>
      <c r="AB147">
        <v>0</v>
      </c>
      <c r="AC147">
        <v>43421</v>
      </c>
      <c r="AD147" t="s">
        <v>40</v>
      </c>
      <c r="AE147" t="s">
        <v>40</v>
      </c>
      <c r="AF147" t="s">
        <v>40</v>
      </c>
      <c r="AG147" t="s">
        <v>40</v>
      </c>
      <c r="AH147" t="s">
        <v>40</v>
      </c>
      <c r="AI147" t="s">
        <v>40</v>
      </c>
      <c r="AJ147" t="s">
        <v>40</v>
      </c>
      <c r="AK147" t="s">
        <v>40</v>
      </c>
      <c r="AL147" t="s">
        <v>40</v>
      </c>
      <c r="AM147" t="s">
        <v>40</v>
      </c>
    </row>
    <row r="148" spans="1:39" x14ac:dyDescent="0.2">
      <c r="A148" s="4" t="s">
        <v>614</v>
      </c>
      <c r="B148" s="4" t="s">
        <v>1597</v>
      </c>
      <c r="C148" s="4" t="s">
        <v>615</v>
      </c>
      <c r="D148" s="4" t="s">
        <v>40</v>
      </c>
      <c r="E148" s="4" t="s">
        <v>40</v>
      </c>
      <c r="F148" t="s">
        <v>40</v>
      </c>
      <c r="G148" t="s">
        <v>616</v>
      </c>
      <c r="H148" t="s">
        <v>617</v>
      </c>
      <c r="I148" t="s">
        <v>40</v>
      </c>
      <c r="J148" t="s">
        <v>40</v>
      </c>
      <c r="K148" t="s">
        <v>40</v>
      </c>
      <c r="L148" t="s">
        <v>40</v>
      </c>
      <c r="M148">
        <v>449.53000000000003</v>
      </c>
      <c r="N148">
        <v>200</v>
      </c>
      <c r="O148">
        <v>2</v>
      </c>
      <c r="P148">
        <v>30</v>
      </c>
      <c r="Q148" t="s">
        <v>77</v>
      </c>
      <c r="R148" t="b">
        <v>0</v>
      </c>
      <c r="S148" t="s">
        <v>87</v>
      </c>
      <c r="T148">
        <v>45537</v>
      </c>
      <c r="U148" t="s">
        <v>229</v>
      </c>
      <c r="V148" s="2">
        <v>44837.549664340448</v>
      </c>
      <c r="W148" t="s">
        <v>40</v>
      </c>
      <c r="X148">
        <v>0</v>
      </c>
      <c r="Y148" t="s">
        <v>40</v>
      </c>
      <c r="Z148" t="s">
        <v>40</v>
      </c>
      <c r="AA148" t="s">
        <v>40</v>
      </c>
      <c r="AB148">
        <v>0</v>
      </c>
      <c r="AC148">
        <v>43330</v>
      </c>
      <c r="AD148" t="s">
        <v>40</v>
      </c>
      <c r="AE148" t="s">
        <v>40</v>
      </c>
      <c r="AF148" t="s">
        <v>40</v>
      </c>
      <c r="AG148" t="s">
        <v>40</v>
      </c>
      <c r="AH148" t="s">
        <v>40</v>
      </c>
      <c r="AI148" t="s">
        <v>40</v>
      </c>
      <c r="AJ148" t="s">
        <v>40</v>
      </c>
      <c r="AK148" t="s">
        <v>40</v>
      </c>
      <c r="AL148" t="s">
        <v>40</v>
      </c>
      <c r="AM148" t="s">
        <v>40</v>
      </c>
    </row>
    <row r="149" spans="1:39" x14ac:dyDescent="0.2">
      <c r="A149" s="4" t="s">
        <v>618</v>
      </c>
      <c r="B149" s="4" t="s">
        <v>1598</v>
      </c>
      <c r="C149" s="4" t="s">
        <v>619</v>
      </c>
      <c r="D149" s="4" t="s">
        <v>40</v>
      </c>
      <c r="E149" s="4" t="s">
        <v>40</v>
      </c>
      <c r="F149" t="s">
        <v>40</v>
      </c>
      <c r="G149" t="s">
        <v>620</v>
      </c>
      <c r="H149" t="s">
        <v>621</v>
      </c>
      <c r="I149" t="s">
        <v>40</v>
      </c>
      <c r="J149" t="s">
        <v>40</v>
      </c>
      <c r="K149" t="s">
        <v>40</v>
      </c>
      <c r="L149" t="s">
        <v>40</v>
      </c>
      <c r="M149">
        <v>0</v>
      </c>
      <c r="N149">
        <v>200</v>
      </c>
      <c r="O149">
        <v>2</v>
      </c>
      <c r="P149">
        <v>30</v>
      </c>
      <c r="Q149" t="s">
        <v>77</v>
      </c>
      <c r="R149" t="b">
        <v>0</v>
      </c>
      <c r="S149" t="s">
        <v>40</v>
      </c>
      <c r="T149" s="1" t="s">
        <v>49</v>
      </c>
      <c r="U149" t="s">
        <v>229</v>
      </c>
      <c r="V149" s="2">
        <v>44840.451180543751</v>
      </c>
      <c r="W149" t="s">
        <v>40</v>
      </c>
      <c r="X149">
        <v>0</v>
      </c>
      <c r="Y149" t="s">
        <v>40</v>
      </c>
      <c r="Z149" t="s">
        <v>40</v>
      </c>
      <c r="AA149" t="s">
        <v>40</v>
      </c>
      <c r="AB149">
        <v>0</v>
      </c>
      <c r="AC149">
        <v>39733</v>
      </c>
      <c r="AD149" t="s">
        <v>40</v>
      </c>
      <c r="AE149" t="s">
        <v>40</v>
      </c>
      <c r="AF149" t="s">
        <v>40</v>
      </c>
      <c r="AG149" t="s">
        <v>40</v>
      </c>
      <c r="AH149" t="s">
        <v>40</v>
      </c>
      <c r="AI149" t="s">
        <v>40</v>
      </c>
      <c r="AJ149" t="s">
        <v>40</v>
      </c>
      <c r="AK149" t="s">
        <v>40</v>
      </c>
      <c r="AL149" t="s">
        <v>40</v>
      </c>
      <c r="AM149" t="s">
        <v>40</v>
      </c>
    </row>
    <row r="150" spans="1:39" x14ac:dyDescent="0.2">
      <c r="A150" s="4" t="s">
        <v>622</v>
      </c>
      <c r="B150" s="4" t="s">
        <v>623</v>
      </c>
      <c r="C150" s="4" t="s">
        <v>624</v>
      </c>
      <c r="D150" s="4" t="s">
        <v>40</v>
      </c>
      <c r="E150" s="4" t="s">
        <v>40</v>
      </c>
      <c r="F150" t="s">
        <v>40</v>
      </c>
      <c r="G150" t="s">
        <v>625</v>
      </c>
      <c r="H150" t="s">
        <v>626</v>
      </c>
      <c r="I150" t="s">
        <v>40</v>
      </c>
      <c r="J150" t="s">
        <v>40</v>
      </c>
      <c r="K150" t="s">
        <v>40</v>
      </c>
      <c r="L150" t="s">
        <v>40</v>
      </c>
      <c r="M150">
        <v>2.35</v>
      </c>
      <c r="N150">
        <v>200</v>
      </c>
      <c r="O150">
        <v>1</v>
      </c>
      <c r="P150">
        <v>0</v>
      </c>
      <c r="Q150" t="s">
        <v>77</v>
      </c>
      <c r="R150" t="b">
        <v>0</v>
      </c>
      <c r="S150" t="s">
        <v>87</v>
      </c>
      <c r="T150" s="1">
        <v>44949</v>
      </c>
      <c r="U150" t="s">
        <v>229</v>
      </c>
      <c r="V150" s="2">
        <v>44852.371909710579</v>
      </c>
      <c r="W150" t="s">
        <v>40</v>
      </c>
      <c r="X150">
        <v>0</v>
      </c>
      <c r="Y150" t="s">
        <v>40</v>
      </c>
      <c r="Z150" t="s">
        <v>40</v>
      </c>
      <c r="AA150" t="s">
        <v>40</v>
      </c>
      <c r="AB150">
        <v>0</v>
      </c>
      <c r="AC150">
        <v>44646</v>
      </c>
      <c r="AD150" t="s">
        <v>40</v>
      </c>
      <c r="AE150" t="s">
        <v>40</v>
      </c>
      <c r="AF150" t="s">
        <v>40</v>
      </c>
      <c r="AG150" t="s">
        <v>40</v>
      </c>
      <c r="AH150" t="s">
        <v>40</v>
      </c>
      <c r="AI150" t="s">
        <v>40</v>
      </c>
      <c r="AJ150" t="s">
        <v>40</v>
      </c>
      <c r="AK150" t="s">
        <v>40</v>
      </c>
      <c r="AL150" t="s">
        <v>40</v>
      </c>
      <c r="AM150" t="s">
        <v>40</v>
      </c>
    </row>
    <row r="151" spans="1:39" x14ac:dyDescent="0.2">
      <c r="A151" s="4" t="s">
        <v>627</v>
      </c>
      <c r="B151" s="4" t="s">
        <v>1599</v>
      </c>
      <c r="C151" s="4" t="s">
        <v>1771</v>
      </c>
      <c r="D151" s="4" t="s">
        <v>40</v>
      </c>
      <c r="E151" s="4" t="s">
        <v>40</v>
      </c>
      <c r="F151" t="s">
        <v>628</v>
      </c>
      <c r="G151" t="s">
        <v>629</v>
      </c>
      <c r="H151" t="s">
        <v>630</v>
      </c>
      <c r="I151" t="s">
        <v>40</v>
      </c>
      <c r="J151" t="s">
        <v>40</v>
      </c>
      <c r="K151" t="s">
        <v>40</v>
      </c>
      <c r="L151" t="s">
        <v>40</v>
      </c>
      <c r="M151">
        <v>0</v>
      </c>
      <c r="N151">
        <v>200</v>
      </c>
      <c r="O151">
        <v>1</v>
      </c>
      <c r="P151">
        <v>0</v>
      </c>
      <c r="Q151" t="s">
        <v>77</v>
      </c>
      <c r="R151" t="b">
        <v>0</v>
      </c>
      <c r="S151" t="s">
        <v>46</v>
      </c>
      <c r="T151" s="1">
        <v>44957</v>
      </c>
      <c r="U151" t="s">
        <v>229</v>
      </c>
      <c r="V151" s="2">
        <v>44859.464085648302</v>
      </c>
      <c r="W151" t="s">
        <v>40</v>
      </c>
      <c r="X151">
        <v>0</v>
      </c>
      <c r="Y151" t="s">
        <v>40</v>
      </c>
      <c r="Z151" t="s">
        <v>40</v>
      </c>
      <c r="AA151" t="s">
        <v>40</v>
      </c>
      <c r="AB151">
        <v>0</v>
      </c>
      <c r="AC151">
        <v>43768</v>
      </c>
      <c r="AD151" t="s">
        <v>40</v>
      </c>
      <c r="AE151" t="s">
        <v>40</v>
      </c>
      <c r="AF151" t="s">
        <v>40</v>
      </c>
      <c r="AG151" t="s">
        <v>40</v>
      </c>
      <c r="AH151" t="s">
        <v>40</v>
      </c>
      <c r="AI151" t="s">
        <v>40</v>
      </c>
      <c r="AJ151" t="s">
        <v>40</v>
      </c>
      <c r="AK151" t="s">
        <v>40</v>
      </c>
      <c r="AL151" t="s">
        <v>40</v>
      </c>
      <c r="AM151" t="s">
        <v>40</v>
      </c>
    </row>
    <row r="152" spans="1:39" x14ac:dyDescent="0.2">
      <c r="A152" s="4" t="s">
        <v>631</v>
      </c>
      <c r="B152" s="4" t="s">
        <v>632</v>
      </c>
      <c r="C152" s="4" t="s">
        <v>633</v>
      </c>
      <c r="D152" s="4" t="s">
        <v>40</v>
      </c>
      <c r="E152" s="4" t="s">
        <v>40</v>
      </c>
      <c r="F152" t="s">
        <v>634</v>
      </c>
      <c r="G152" t="s">
        <v>635</v>
      </c>
      <c r="H152" t="s">
        <v>636</v>
      </c>
      <c r="I152" t="s">
        <v>40</v>
      </c>
      <c r="J152" t="s">
        <v>40</v>
      </c>
      <c r="K152" t="s">
        <v>40</v>
      </c>
      <c r="L152" t="s">
        <v>40</v>
      </c>
      <c r="M152">
        <v>0</v>
      </c>
      <c r="N152">
        <v>200</v>
      </c>
      <c r="O152">
        <v>2</v>
      </c>
      <c r="P152">
        <v>30</v>
      </c>
      <c r="Q152" t="s">
        <v>77</v>
      </c>
      <c r="R152" t="b">
        <v>0</v>
      </c>
      <c r="S152" t="s">
        <v>40</v>
      </c>
      <c r="T152" s="1" t="s">
        <v>49</v>
      </c>
      <c r="U152" t="s">
        <v>229</v>
      </c>
      <c r="V152" s="2">
        <v>44860.384502314962</v>
      </c>
      <c r="W152" t="s">
        <v>40</v>
      </c>
      <c r="X152">
        <v>0</v>
      </c>
      <c r="Y152" t="s">
        <v>40</v>
      </c>
      <c r="Z152" t="s">
        <v>40</v>
      </c>
      <c r="AA152" t="s">
        <v>40</v>
      </c>
      <c r="AB152">
        <v>0</v>
      </c>
      <c r="AC152">
        <v>19481</v>
      </c>
      <c r="AD152" t="s">
        <v>40</v>
      </c>
      <c r="AE152" t="s">
        <v>40</v>
      </c>
      <c r="AF152" t="s">
        <v>40</v>
      </c>
      <c r="AG152" t="s">
        <v>40</v>
      </c>
      <c r="AH152" t="s">
        <v>40</v>
      </c>
      <c r="AI152" t="s">
        <v>40</v>
      </c>
      <c r="AJ152" t="s">
        <v>40</v>
      </c>
      <c r="AK152" t="s">
        <v>40</v>
      </c>
      <c r="AL152" t="s">
        <v>40</v>
      </c>
      <c r="AM152" t="s">
        <v>40</v>
      </c>
    </row>
    <row r="153" spans="1:39" x14ac:dyDescent="0.2">
      <c r="A153" s="4" t="s">
        <v>637</v>
      </c>
      <c r="B153" s="4" t="s">
        <v>638</v>
      </c>
      <c r="C153" s="4" t="s">
        <v>639</v>
      </c>
      <c r="D153" s="4" t="s">
        <v>51</v>
      </c>
      <c r="E153" s="4" t="s">
        <v>51</v>
      </c>
      <c r="F153" t="s">
        <v>40</v>
      </c>
      <c r="G153" t="s">
        <v>637</v>
      </c>
      <c r="H153" t="s">
        <v>640</v>
      </c>
      <c r="I153" t="s">
        <v>40</v>
      </c>
      <c r="J153" t="s">
        <v>40</v>
      </c>
      <c r="K153" t="s">
        <v>40</v>
      </c>
      <c r="L153" t="s">
        <v>40</v>
      </c>
      <c r="M153">
        <v>2.35</v>
      </c>
      <c r="N153">
        <v>200</v>
      </c>
      <c r="O153">
        <v>1</v>
      </c>
      <c r="P153">
        <v>0</v>
      </c>
      <c r="Q153" t="s">
        <v>77</v>
      </c>
      <c r="R153" t="b">
        <v>0</v>
      </c>
      <c r="S153" t="s">
        <v>46</v>
      </c>
      <c r="T153">
        <v>44955</v>
      </c>
      <c r="U153" t="s">
        <v>229</v>
      </c>
      <c r="V153" s="2">
        <v>44875.447129617911</v>
      </c>
      <c r="W153" t="s">
        <v>641</v>
      </c>
      <c r="X153">
        <v>0</v>
      </c>
      <c r="Y153" t="s">
        <v>40</v>
      </c>
      <c r="Z153" t="s">
        <v>40</v>
      </c>
      <c r="AA153" t="s">
        <v>40</v>
      </c>
      <c r="AB153">
        <v>2</v>
      </c>
      <c r="AC153" t="s">
        <v>49</v>
      </c>
      <c r="AD153" t="s">
        <v>40</v>
      </c>
      <c r="AE153" t="s">
        <v>40</v>
      </c>
      <c r="AF153" t="s">
        <v>638</v>
      </c>
      <c r="AG153" t="s">
        <v>40</v>
      </c>
      <c r="AH153" t="s">
        <v>642</v>
      </c>
      <c r="AI153" t="s">
        <v>643</v>
      </c>
      <c r="AJ153" t="s">
        <v>46</v>
      </c>
      <c r="AK153" t="s">
        <v>419</v>
      </c>
      <c r="AL153" t="s">
        <v>420</v>
      </c>
      <c r="AM153" t="s">
        <v>421</v>
      </c>
    </row>
    <row r="154" spans="1:39" x14ac:dyDescent="0.2">
      <c r="A154" s="4" t="s">
        <v>644</v>
      </c>
      <c r="B154" s="4" t="s">
        <v>645</v>
      </c>
      <c r="C154" s="4" t="s">
        <v>217</v>
      </c>
      <c r="D154" s="4" t="s">
        <v>40</v>
      </c>
      <c r="E154" s="4" t="s">
        <v>40</v>
      </c>
      <c r="F154" t="s">
        <v>40</v>
      </c>
      <c r="G154" t="s">
        <v>646</v>
      </c>
      <c r="H154" t="s">
        <v>647</v>
      </c>
      <c r="I154" t="s">
        <v>40</v>
      </c>
      <c r="J154" t="s">
        <v>40</v>
      </c>
      <c r="K154" t="s">
        <v>40</v>
      </c>
      <c r="L154" t="s">
        <v>40</v>
      </c>
      <c r="M154">
        <v>9.8000000000000007</v>
      </c>
      <c r="N154">
        <v>200</v>
      </c>
      <c r="O154">
        <v>2</v>
      </c>
      <c r="P154">
        <v>30</v>
      </c>
      <c r="Q154" t="s">
        <v>77</v>
      </c>
      <c r="R154" t="b">
        <v>0</v>
      </c>
      <c r="S154" t="s">
        <v>40</v>
      </c>
      <c r="T154">
        <v>44949</v>
      </c>
      <c r="U154" t="s">
        <v>229</v>
      </c>
      <c r="V154" s="2">
        <v>44875.449594907463</v>
      </c>
      <c r="W154" t="s">
        <v>40</v>
      </c>
      <c r="X154">
        <v>0</v>
      </c>
      <c r="Y154" t="s">
        <v>40</v>
      </c>
      <c r="Z154" t="s">
        <v>40</v>
      </c>
      <c r="AA154" t="s">
        <v>40</v>
      </c>
      <c r="AB154">
        <v>0</v>
      </c>
      <c r="AC154">
        <v>25770</v>
      </c>
      <c r="AD154" t="s">
        <v>40</v>
      </c>
      <c r="AE154" t="s">
        <v>40</v>
      </c>
      <c r="AF154" t="s">
        <v>40</v>
      </c>
      <c r="AG154" t="s">
        <v>40</v>
      </c>
      <c r="AH154" t="s">
        <v>40</v>
      </c>
      <c r="AI154" t="s">
        <v>40</v>
      </c>
      <c r="AJ154" t="s">
        <v>40</v>
      </c>
      <c r="AK154" t="s">
        <v>40</v>
      </c>
      <c r="AL154" t="s">
        <v>40</v>
      </c>
      <c r="AM154" t="s">
        <v>40</v>
      </c>
    </row>
    <row r="155" spans="1:39" x14ac:dyDescent="0.2">
      <c r="A155" s="4" t="s">
        <v>648</v>
      </c>
      <c r="B155" s="4" t="s">
        <v>649</v>
      </c>
      <c r="C155" s="4" t="s">
        <v>40</v>
      </c>
      <c r="D155" s="4" t="s">
        <v>40</v>
      </c>
      <c r="E155" s="4" t="s">
        <v>40</v>
      </c>
      <c r="F155" t="s">
        <v>40</v>
      </c>
      <c r="G155" t="s">
        <v>650</v>
      </c>
      <c r="H155" t="s">
        <v>651</v>
      </c>
      <c r="I155" t="s">
        <v>40</v>
      </c>
      <c r="J155" t="s">
        <v>40</v>
      </c>
      <c r="K155" t="s">
        <v>40</v>
      </c>
      <c r="L155" t="s">
        <v>40</v>
      </c>
      <c r="M155">
        <v>0</v>
      </c>
      <c r="N155">
        <v>200</v>
      </c>
      <c r="O155">
        <v>1</v>
      </c>
      <c r="P155">
        <v>0</v>
      </c>
      <c r="Q155" t="s">
        <v>77</v>
      </c>
      <c r="R155" t="b">
        <v>0</v>
      </c>
      <c r="S155" t="s">
        <v>46</v>
      </c>
      <c r="T155" s="1">
        <v>45316</v>
      </c>
      <c r="U155" t="s">
        <v>229</v>
      </c>
      <c r="V155" s="2">
        <v>44883.695497673471</v>
      </c>
      <c r="W155" t="s">
        <v>40</v>
      </c>
      <c r="X155">
        <v>0</v>
      </c>
      <c r="Y155" t="s">
        <v>40</v>
      </c>
      <c r="Z155" t="s">
        <v>40</v>
      </c>
      <c r="AA155" t="s">
        <v>40</v>
      </c>
      <c r="AB155">
        <v>0</v>
      </c>
      <c r="AC155" t="s">
        <v>49</v>
      </c>
      <c r="AD155" t="s">
        <v>40</v>
      </c>
      <c r="AE155" t="s">
        <v>40</v>
      </c>
      <c r="AF155" t="s">
        <v>40</v>
      </c>
      <c r="AG155" t="s">
        <v>40</v>
      </c>
      <c r="AH155" t="s">
        <v>40</v>
      </c>
      <c r="AI155" t="s">
        <v>40</v>
      </c>
      <c r="AJ155" t="s">
        <v>40</v>
      </c>
      <c r="AK155" t="s">
        <v>40</v>
      </c>
      <c r="AL155" t="s">
        <v>40</v>
      </c>
      <c r="AM155" t="s">
        <v>40</v>
      </c>
    </row>
    <row r="156" spans="1:39" x14ac:dyDescent="0.2">
      <c r="A156" s="4" t="s">
        <v>652</v>
      </c>
      <c r="B156" s="4" t="s">
        <v>653</v>
      </c>
      <c r="C156" s="4" t="s">
        <v>40</v>
      </c>
      <c r="D156" s="4" t="s">
        <v>40</v>
      </c>
      <c r="E156" s="4" t="s">
        <v>40</v>
      </c>
      <c r="F156" t="s">
        <v>40</v>
      </c>
      <c r="G156" t="s">
        <v>654</v>
      </c>
      <c r="H156" t="s">
        <v>655</v>
      </c>
      <c r="I156" t="s">
        <v>40</v>
      </c>
      <c r="J156" t="s">
        <v>40</v>
      </c>
      <c r="K156" t="s">
        <v>40</v>
      </c>
      <c r="L156" t="s">
        <v>40</v>
      </c>
      <c r="M156">
        <v>2.4500000000000002</v>
      </c>
      <c r="N156">
        <v>200</v>
      </c>
      <c r="O156">
        <v>2</v>
      </c>
      <c r="P156">
        <v>30</v>
      </c>
      <c r="Q156" t="s">
        <v>77</v>
      </c>
      <c r="R156" t="b">
        <v>0</v>
      </c>
      <c r="S156" t="s">
        <v>40</v>
      </c>
      <c r="T156" s="1">
        <v>44956</v>
      </c>
      <c r="U156" t="s">
        <v>229</v>
      </c>
      <c r="V156" s="2">
        <v>44944.387118043844</v>
      </c>
      <c r="W156" t="s">
        <v>40</v>
      </c>
      <c r="X156">
        <v>0</v>
      </c>
      <c r="Y156" t="s">
        <v>40</v>
      </c>
      <c r="Z156" t="s">
        <v>40</v>
      </c>
      <c r="AA156" t="s">
        <v>40</v>
      </c>
      <c r="AB156">
        <v>0</v>
      </c>
      <c r="AC156" t="s">
        <v>49</v>
      </c>
      <c r="AD156" t="s">
        <v>40</v>
      </c>
      <c r="AE156" t="s">
        <v>40</v>
      </c>
      <c r="AF156" t="s">
        <v>40</v>
      </c>
      <c r="AG156" t="s">
        <v>40</v>
      </c>
      <c r="AH156" t="s">
        <v>40</v>
      </c>
      <c r="AI156" t="s">
        <v>40</v>
      </c>
      <c r="AJ156" t="s">
        <v>40</v>
      </c>
      <c r="AK156" t="s">
        <v>40</v>
      </c>
      <c r="AL156" t="s">
        <v>40</v>
      </c>
      <c r="AM156" t="s">
        <v>40</v>
      </c>
    </row>
    <row r="157" spans="1:39" x14ac:dyDescent="0.2">
      <c r="A157" s="4" t="s">
        <v>656</v>
      </c>
      <c r="B157" s="4" t="s">
        <v>1600</v>
      </c>
      <c r="C157" s="4" t="s">
        <v>657</v>
      </c>
      <c r="D157" s="4" t="s">
        <v>40</v>
      </c>
      <c r="E157" s="4" t="s">
        <v>40</v>
      </c>
      <c r="F157" t="s">
        <v>40</v>
      </c>
      <c r="G157" t="s">
        <v>658</v>
      </c>
      <c r="H157" t="s">
        <v>659</v>
      </c>
      <c r="I157" t="s">
        <v>40</v>
      </c>
      <c r="J157" t="s">
        <v>40</v>
      </c>
      <c r="K157" t="s">
        <v>40</v>
      </c>
      <c r="L157" t="s">
        <v>40</v>
      </c>
      <c r="M157">
        <v>95.61</v>
      </c>
      <c r="N157">
        <v>200</v>
      </c>
      <c r="O157">
        <v>2</v>
      </c>
      <c r="P157">
        <v>30</v>
      </c>
      <c r="Q157" t="s">
        <v>77</v>
      </c>
      <c r="R157" t="b">
        <v>0</v>
      </c>
      <c r="S157" t="s">
        <v>87</v>
      </c>
      <c r="T157" s="1">
        <v>45315</v>
      </c>
      <c r="U157" t="s">
        <v>229</v>
      </c>
      <c r="V157" s="2">
        <v>44944.42024305556</v>
      </c>
      <c r="W157" t="s">
        <v>40</v>
      </c>
      <c r="X157">
        <v>0</v>
      </c>
      <c r="Y157" t="s">
        <v>40</v>
      </c>
      <c r="Z157" t="s">
        <v>40</v>
      </c>
      <c r="AA157" t="s">
        <v>40</v>
      </c>
      <c r="AB157">
        <v>0</v>
      </c>
      <c r="AC157" t="s">
        <v>49</v>
      </c>
      <c r="AD157" t="s">
        <v>40</v>
      </c>
      <c r="AE157" t="s">
        <v>40</v>
      </c>
      <c r="AF157" t="s">
        <v>40</v>
      </c>
      <c r="AG157" t="s">
        <v>40</v>
      </c>
      <c r="AH157" t="s">
        <v>40</v>
      </c>
      <c r="AI157" t="s">
        <v>40</v>
      </c>
      <c r="AJ157" t="s">
        <v>40</v>
      </c>
      <c r="AK157" t="s">
        <v>40</v>
      </c>
      <c r="AL157" t="s">
        <v>40</v>
      </c>
      <c r="AM157" t="s">
        <v>40</v>
      </c>
    </row>
    <row r="158" spans="1:39" x14ac:dyDescent="0.2">
      <c r="A158" s="4" t="s">
        <v>660</v>
      </c>
      <c r="B158" s="4" t="s">
        <v>1601</v>
      </c>
      <c r="C158" s="4" t="s">
        <v>40</v>
      </c>
      <c r="D158" s="4" t="s">
        <v>40</v>
      </c>
      <c r="E158" s="4" t="s">
        <v>40</v>
      </c>
      <c r="F158" t="s">
        <v>40</v>
      </c>
      <c r="G158" t="s">
        <v>661</v>
      </c>
      <c r="H158" t="s">
        <v>662</v>
      </c>
      <c r="I158" t="s">
        <v>40</v>
      </c>
      <c r="J158" t="s">
        <v>40</v>
      </c>
      <c r="K158" t="s">
        <v>40</v>
      </c>
      <c r="L158" t="s">
        <v>40</v>
      </c>
      <c r="M158">
        <v>14.700000000000001</v>
      </c>
      <c r="N158">
        <v>200</v>
      </c>
      <c r="O158">
        <v>1</v>
      </c>
      <c r="P158">
        <v>0</v>
      </c>
      <c r="Q158" t="s">
        <v>77</v>
      </c>
      <c r="R158" t="b">
        <v>0</v>
      </c>
      <c r="S158" t="s">
        <v>87</v>
      </c>
      <c r="T158" s="1">
        <v>45579</v>
      </c>
      <c r="U158" t="s">
        <v>229</v>
      </c>
      <c r="V158" s="2">
        <v>44944.431203703862</v>
      </c>
      <c r="W158" t="s">
        <v>40</v>
      </c>
      <c r="X158">
        <v>0</v>
      </c>
      <c r="Y158" t="s">
        <v>40</v>
      </c>
      <c r="Z158" t="s">
        <v>40</v>
      </c>
      <c r="AA158" t="s">
        <v>40</v>
      </c>
      <c r="AB158">
        <v>0</v>
      </c>
      <c r="AC158" t="s">
        <v>49</v>
      </c>
      <c r="AD158" t="s">
        <v>40</v>
      </c>
      <c r="AE158" t="s">
        <v>40</v>
      </c>
      <c r="AF158" t="s">
        <v>40</v>
      </c>
      <c r="AG158" t="s">
        <v>40</v>
      </c>
      <c r="AH158" t="s">
        <v>40</v>
      </c>
      <c r="AI158" t="s">
        <v>40</v>
      </c>
      <c r="AJ158" t="s">
        <v>40</v>
      </c>
      <c r="AK158" t="s">
        <v>40</v>
      </c>
      <c r="AL158" t="s">
        <v>40</v>
      </c>
      <c r="AM158" t="s">
        <v>40</v>
      </c>
    </row>
    <row r="159" spans="1:39" x14ac:dyDescent="0.2">
      <c r="A159" s="4" t="s">
        <v>663</v>
      </c>
      <c r="B159" s="4" t="s">
        <v>664</v>
      </c>
      <c r="C159" s="4" t="s">
        <v>40</v>
      </c>
      <c r="D159" s="4" t="s">
        <v>40</v>
      </c>
      <c r="E159" s="4" t="s">
        <v>40</v>
      </c>
      <c r="F159" t="s">
        <v>40</v>
      </c>
      <c r="G159" t="s">
        <v>665</v>
      </c>
      <c r="H159" t="s">
        <v>666</v>
      </c>
      <c r="I159" t="s">
        <v>40</v>
      </c>
      <c r="J159" t="s">
        <v>40</v>
      </c>
      <c r="K159" t="s">
        <v>40</v>
      </c>
      <c r="L159" t="s">
        <v>40</v>
      </c>
      <c r="M159">
        <v>0</v>
      </c>
      <c r="N159">
        <v>200</v>
      </c>
      <c r="O159">
        <v>2</v>
      </c>
      <c r="P159">
        <v>30</v>
      </c>
      <c r="Q159" t="s">
        <v>77</v>
      </c>
      <c r="R159" t="b">
        <v>0</v>
      </c>
      <c r="S159" t="s">
        <v>40</v>
      </c>
      <c r="T159">
        <v>44951</v>
      </c>
      <c r="U159" t="s">
        <v>229</v>
      </c>
      <c r="V159" s="2">
        <v>44944.434467592742</v>
      </c>
      <c r="W159" t="s">
        <v>40</v>
      </c>
      <c r="X159">
        <v>0</v>
      </c>
      <c r="Y159" t="s">
        <v>40</v>
      </c>
      <c r="Z159" t="s">
        <v>40</v>
      </c>
      <c r="AA159" t="s">
        <v>40</v>
      </c>
      <c r="AB159">
        <v>0</v>
      </c>
      <c r="AC159" t="s">
        <v>49</v>
      </c>
      <c r="AD159" t="s">
        <v>40</v>
      </c>
      <c r="AE159" t="s">
        <v>40</v>
      </c>
      <c r="AF159" t="s">
        <v>40</v>
      </c>
      <c r="AG159" t="s">
        <v>40</v>
      </c>
      <c r="AH159" t="s">
        <v>40</v>
      </c>
      <c r="AI159" t="s">
        <v>40</v>
      </c>
      <c r="AJ159" t="s">
        <v>40</v>
      </c>
      <c r="AK159" t="s">
        <v>40</v>
      </c>
      <c r="AL159" t="s">
        <v>40</v>
      </c>
      <c r="AM159" t="s">
        <v>40</v>
      </c>
    </row>
    <row r="160" spans="1:39" x14ac:dyDescent="0.2">
      <c r="A160" s="4" t="s">
        <v>667</v>
      </c>
      <c r="B160" s="4" t="s">
        <v>668</v>
      </c>
      <c r="C160" s="4" t="s">
        <v>225</v>
      </c>
      <c r="D160" s="4" t="s">
        <v>40</v>
      </c>
      <c r="E160" s="4" t="s">
        <v>40</v>
      </c>
      <c r="F160" t="s">
        <v>40</v>
      </c>
      <c r="G160" t="s">
        <v>669</v>
      </c>
      <c r="H160" t="s">
        <v>670</v>
      </c>
      <c r="I160" t="s">
        <v>40</v>
      </c>
      <c r="J160" t="s">
        <v>40</v>
      </c>
      <c r="K160" t="s">
        <v>40</v>
      </c>
      <c r="L160" t="s">
        <v>40</v>
      </c>
      <c r="M160">
        <v>0</v>
      </c>
      <c r="N160">
        <v>200</v>
      </c>
      <c r="O160">
        <v>1</v>
      </c>
      <c r="P160">
        <v>0</v>
      </c>
      <c r="Q160" t="s">
        <v>77</v>
      </c>
      <c r="R160" t="b">
        <v>0</v>
      </c>
      <c r="S160" t="s">
        <v>87</v>
      </c>
      <c r="T160">
        <v>44957</v>
      </c>
      <c r="U160" t="s">
        <v>229</v>
      </c>
      <c r="V160" s="2">
        <v>44945.448483796325</v>
      </c>
      <c r="W160" t="s">
        <v>40</v>
      </c>
      <c r="X160">
        <v>0</v>
      </c>
      <c r="Y160" t="s">
        <v>40</v>
      </c>
      <c r="Z160" t="s">
        <v>40</v>
      </c>
      <c r="AA160" t="s">
        <v>40</v>
      </c>
      <c r="AB160">
        <v>0</v>
      </c>
      <c r="AC160" t="s">
        <v>49</v>
      </c>
      <c r="AD160" t="s">
        <v>40</v>
      </c>
      <c r="AE160" t="s">
        <v>40</v>
      </c>
      <c r="AF160" t="s">
        <v>40</v>
      </c>
      <c r="AG160" t="s">
        <v>40</v>
      </c>
      <c r="AH160" t="s">
        <v>40</v>
      </c>
      <c r="AI160" t="s">
        <v>40</v>
      </c>
      <c r="AJ160" t="s">
        <v>40</v>
      </c>
      <c r="AK160" t="s">
        <v>40</v>
      </c>
      <c r="AL160" t="s">
        <v>40</v>
      </c>
      <c r="AM160" t="s">
        <v>40</v>
      </c>
    </row>
    <row r="161" spans="1:39" x14ac:dyDescent="0.2">
      <c r="A161" s="4" t="s">
        <v>671</v>
      </c>
      <c r="B161" s="4" t="s">
        <v>672</v>
      </c>
      <c r="C161" s="4" t="s">
        <v>673</v>
      </c>
      <c r="D161" s="4" t="s">
        <v>40</v>
      </c>
      <c r="E161" s="4" t="s">
        <v>40</v>
      </c>
      <c r="F161" t="s">
        <v>40</v>
      </c>
      <c r="G161" t="s">
        <v>674</v>
      </c>
      <c r="H161" t="s">
        <v>675</v>
      </c>
      <c r="I161" t="s">
        <v>40</v>
      </c>
      <c r="J161" t="s">
        <v>40</v>
      </c>
      <c r="K161" t="s">
        <v>40</v>
      </c>
      <c r="L161" t="s">
        <v>40</v>
      </c>
      <c r="M161">
        <v>0</v>
      </c>
      <c r="N161">
        <v>200</v>
      </c>
      <c r="O161">
        <v>2</v>
      </c>
      <c r="P161">
        <v>30</v>
      </c>
      <c r="Q161" t="s">
        <v>77</v>
      </c>
      <c r="R161" t="b">
        <v>0</v>
      </c>
      <c r="S161" t="s">
        <v>40</v>
      </c>
      <c r="T161" s="1">
        <v>44936</v>
      </c>
      <c r="U161" t="s">
        <v>229</v>
      </c>
      <c r="V161" s="2">
        <v>44945.454398148227</v>
      </c>
      <c r="W161" t="s">
        <v>40</v>
      </c>
      <c r="X161">
        <v>0</v>
      </c>
      <c r="Y161" t="s">
        <v>40</v>
      </c>
      <c r="Z161" t="s">
        <v>40</v>
      </c>
      <c r="AA161" t="s">
        <v>40</v>
      </c>
      <c r="AB161">
        <v>0</v>
      </c>
      <c r="AC161" t="s">
        <v>49</v>
      </c>
      <c r="AD161" t="s">
        <v>40</v>
      </c>
      <c r="AE161" t="s">
        <v>40</v>
      </c>
      <c r="AF161" t="s">
        <v>40</v>
      </c>
      <c r="AG161" t="s">
        <v>40</v>
      </c>
      <c r="AH161" t="s">
        <v>40</v>
      </c>
      <c r="AI161" t="s">
        <v>40</v>
      </c>
      <c r="AJ161" t="s">
        <v>40</v>
      </c>
      <c r="AK161" t="s">
        <v>40</v>
      </c>
      <c r="AL161" t="s">
        <v>40</v>
      </c>
      <c r="AM161" t="s">
        <v>40</v>
      </c>
    </row>
    <row r="162" spans="1:39" x14ac:dyDescent="0.2">
      <c r="A162" s="4" t="s">
        <v>676</v>
      </c>
      <c r="B162" s="4" t="s">
        <v>677</v>
      </c>
      <c r="C162" s="4" t="s">
        <v>40</v>
      </c>
      <c r="D162" s="4" t="s">
        <v>40</v>
      </c>
      <c r="E162" s="4" t="s">
        <v>40</v>
      </c>
      <c r="F162" t="s">
        <v>40</v>
      </c>
      <c r="G162" t="s">
        <v>678</v>
      </c>
      <c r="H162" t="s">
        <v>679</v>
      </c>
      <c r="I162" t="s">
        <v>40</v>
      </c>
      <c r="J162" t="s">
        <v>40</v>
      </c>
      <c r="K162" t="s">
        <v>40</v>
      </c>
      <c r="L162" t="s">
        <v>40</v>
      </c>
      <c r="M162">
        <v>0</v>
      </c>
      <c r="N162">
        <v>200</v>
      </c>
      <c r="O162">
        <v>1</v>
      </c>
      <c r="P162">
        <v>0</v>
      </c>
      <c r="Q162" t="s">
        <v>77</v>
      </c>
      <c r="R162" t="b">
        <v>0</v>
      </c>
      <c r="S162" t="s">
        <v>40</v>
      </c>
      <c r="T162">
        <v>44955</v>
      </c>
      <c r="U162" t="s">
        <v>229</v>
      </c>
      <c r="V162" s="2">
        <v>44949.487604166847</v>
      </c>
      <c r="W162" t="s">
        <v>678</v>
      </c>
      <c r="X162">
        <v>0</v>
      </c>
      <c r="Y162" t="s">
        <v>680</v>
      </c>
      <c r="Z162" t="s">
        <v>40</v>
      </c>
      <c r="AA162" t="s">
        <v>40</v>
      </c>
      <c r="AB162">
        <v>1</v>
      </c>
      <c r="AC162" t="s">
        <v>49</v>
      </c>
      <c r="AD162" t="s">
        <v>40</v>
      </c>
      <c r="AE162" t="s">
        <v>40</v>
      </c>
      <c r="AF162" t="s">
        <v>40</v>
      </c>
      <c r="AG162" t="s">
        <v>40</v>
      </c>
      <c r="AH162" t="s">
        <v>40</v>
      </c>
      <c r="AI162" t="s">
        <v>40</v>
      </c>
      <c r="AJ162" t="s">
        <v>40</v>
      </c>
      <c r="AK162" t="s">
        <v>40</v>
      </c>
      <c r="AL162" t="s">
        <v>40</v>
      </c>
      <c r="AM162" t="s">
        <v>40</v>
      </c>
    </row>
    <row r="163" spans="1:39" x14ac:dyDescent="0.2">
      <c r="A163" s="4" t="s">
        <v>681</v>
      </c>
      <c r="B163" s="4" t="s">
        <v>1602</v>
      </c>
      <c r="C163" s="4" t="s">
        <v>40</v>
      </c>
      <c r="D163" s="4" t="s">
        <v>40</v>
      </c>
      <c r="E163" s="4" t="s">
        <v>40</v>
      </c>
      <c r="F163" t="s">
        <v>40</v>
      </c>
      <c r="G163" t="s">
        <v>682</v>
      </c>
      <c r="H163" t="s">
        <v>683</v>
      </c>
      <c r="I163" t="s">
        <v>40</v>
      </c>
      <c r="J163" t="s">
        <v>40</v>
      </c>
      <c r="K163" t="s">
        <v>40</v>
      </c>
      <c r="L163" t="s">
        <v>40</v>
      </c>
      <c r="M163">
        <v>7.04</v>
      </c>
      <c r="N163">
        <v>200</v>
      </c>
      <c r="O163">
        <v>1</v>
      </c>
      <c r="P163">
        <v>0</v>
      </c>
      <c r="Q163" t="s">
        <v>77</v>
      </c>
      <c r="R163" t="b">
        <v>0</v>
      </c>
      <c r="S163" t="s">
        <v>87</v>
      </c>
      <c r="T163">
        <v>45122</v>
      </c>
      <c r="U163" t="s">
        <v>229</v>
      </c>
      <c r="V163" s="2">
        <v>44949.490601852071</v>
      </c>
      <c r="W163" t="s">
        <v>40</v>
      </c>
      <c r="X163">
        <v>0</v>
      </c>
      <c r="Y163" t="s">
        <v>40</v>
      </c>
      <c r="Z163" t="s">
        <v>40</v>
      </c>
      <c r="AA163" t="s">
        <v>40</v>
      </c>
      <c r="AB163">
        <v>2</v>
      </c>
      <c r="AC163" t="s">
        <v>49</v>
      </c>
      <c r="AD163" t="s">
        <v>40</v>
      </c>
      <c r="AE163" t="s">
        <v>40</v>
      </c>
      <c r="AF163" t="s">
        <v>40</v>
      </c>
      <c r="AG163" t="s">
        <v>40</v>
      </c>
      <c r="AH163" t="s">
        <v>40</v>
      </c>
      <c r="AI163" t="s">
        <v>40</v>
      </c>
      <c r="AJ163" t="s">
        <v>40</v>
      </c>
      <c r="AK163" t="s">
        <v>40</v>
      </c>
      <c r="AL163" t="s">
        <v>40</v>
      </c>
      <c r="AM163" t="s">
        <v>40</v>
      </c>
    </row>
    <row r="164" spans="1:39" x14ac:dyDescent="0.2">
      <c r="A164" s="4" t="s">
        <v>684</v>
      </c>
      <c r="B164" s="4" t="s">
        <v>1603</v>
      </c>
      <c r="C164" s="4" t="s">
        <v>40</v>
      </c>
      <c r="D164" s="4" t="s">
        <v>40</v>
      </c>
      <c r="E164" s="4" t="s">
        <v>40</v>
      </c>
      <c r="F164" t="s">
        <v>40</v>
      </c>
      <c r="G164" t="s">
        <v>685</v>
      </c>
      <c r="H164" t="s">
        <v>686</v>
      </c>
      <c r="I164" t="s">
        <v>40</v>
      </c>
      <c r="J164" t="s">
        <v>40</v>
      </c>
      <c r="K164" t="s">
        <v>40</v>
      </c>
      <c r="L164" t="s">
        <v>40</v>
      </c>
      <c r="M164">
        <v>1217.74</v>
      </c>
      <c r="N164">
        <v>200</v>
      </c>
      <c r="O164">
        <v>1</v>
      </c>
      <c r="P164">
        <v>0</v>
      </c>
      <c r="Q164" t="s">
        <v>77</v>
      </c>
      <c r="R164" t="b">
        <v>0</v>
      </c>
      <c r="S164" t="s">
        <v>87</v>
      </c>
      <c r="T164" s="1">
        <v>45358</v>
      </c>
      <c r="U164" t="s">
        <v>229</v>
      </c>
      <c r="V164" s="2">
        <v>44949.492071759421</v>
      </c>
      <c r="W164" t="s">
        <v>40</v>
      </c>
      <c r="X164">
        <v>0</v>
      </c>
      <c r="Y164" t="s">
        <v>40</v>
      </c>
      <c r="Z164" t="s">
        <v>40</v>
      </c>
      <c r="AA164" t="s">
        <v>40</v>
      </c>
      <c r="AB164">
        <v>2</v>
      </c>
      <c r="AC164" t="s">
        <v>49</v>
      </c>
      <c r="AD164" t="s">
        <v>40</v>
      </c>
      <c r="AE164" t="s">
        <v>40</v>
      </c>
      <c r="AF164" t="s">
        <v>40</v>
      </c>
      <c r="AG164" t="s">
        <v>40</v>
      </c>
      <c r="AH164" t="s">
        <v>40</v>
      </c>
      <c r="AI164" t="s">
        <v>40</v>
      </c>
      <c r="AJ164" t="s">
        <v>40</v>
      </c>
      <c r="AK164" t="s">
        <v>40</v>
      </c>
      <c r="AL164" t="s">
        <v>40</v>
      </c>
      <c r="AM164" t="s">
        <v>40</v>
      </c>
    </row>
    <row r="165" spans="1:39" x14ac:dyDescent="0.2">
      <c r="A165" s="4" t="s">
        <v>687</v>
      </c>
      <c r="B165" s="4" t="s">
        <v>1604</v>
      </c>
      <c r="C165" s="4" t="s">
        <v>40</v>
      </c>
      <c r="D165" s="4" t="s">
        <v>40</v>
      </c>
      <c r="E165" s="4" t="s">
        <v>40</v>
      </c>
      <c r="F165" t="s">
        <v>40</v>
      </c>
      <c r="G165" t="s">
        <v>688</v>
      </c>
      <c r="H165" t="s">
        <v>689</v>
      </c>
      <c r="I165" t="s">
        <v>40</v>
      </c>
      <c r="J165" t="s">
        <v>40</v>
      </c>
      <c r="K165" t="s">
        <v>40</v>
      </c>
      <c r="L165" t="s">
        <v>40</v>
      </c>
      <c r="M165">
        <v>19.100000000000001</v>
      </c>
      <c r="N165">
        <v>200</v>
      </c>
      <c r="O165">
        <v>1</v>
      </c>
      <c r="P165">
        <v>0</v>
      </c>
      <c r="Q165" t="s">
        <v>77</v>
      </c>
      <c r="R165" t="b">
        <v>0</v>
      </c>
      <c r="S165" t="s">
        <v>87</v>
      </c>
      <c r="T165">
        <v>45180</v>
      </c>
      <c r="U165" t="s">
        <v>229</v>
      </c>
      <c r="V165" s="2">
        <v>44949.494629618246</v>
      </c>
      <c r="W165" t="s">
        <v>40</v>
      </c>
      <c r="X165">
        <v>0</v>
      </c>
      <c r="Y165" t="s">
        <v>40</v>
      </c>
      <c r="Z165" t="s">
        <v>40</v>
      </c>
      <c r="AA165" t="s">
        <v>40</v>
      </c>
      <c r="AB165">
        <v>0</v>
      </c>
      <c r="AC165" t="s">
        <v>49</v>
      </c>
      <c r="AD165" t="s">
        <v>40</v>
      </c>
      <c r="AE165" t="s">
        <v>40</v>
      </c>
      <c r="AF165" t="s">
        <v>40</v>
      </c>
      <c r="AG165" t="s">
        <v>40</v>
      </c>
      <c r="AH165" t="s">
        <v>40</v>
      </c>
      <c r="AI165" t="s">
        <v>40</v>
      </c>
      <c r="AJ165" t="s">
        <v>40</v>
      </c>
      <c r="AK165" t="s">
        <v>40</v>
      </c>
      <c r="AL165" t="s">
        <v>40</v>
      </c>
      <c r="AM165" t="s">
        <v>40</v>
      </c>
    </row>
    <row r="166" spans="1:39" x14ac:dyDescent="0.2">
      <c r="A166" s="4" t="s">
        <v>690</v>
      </c>
      <c r="B166" s="4" t="s">
        <v>1605</v>
      </c>
      <c r="C166" s="4" t="s">
        <v>40</v>
      </c>
      <c r="D166" s="4" t="s">
        <v>40</v>
      </c>
      <c r="E166" s="4" t="s">
        <v>40</v>
      </c>
      <c r="F166" t="s">
        <v>40</v>
      </c>
      <c r="G166" t="s">
        <v>691</v>
      </c>
      <c r="H166" t="s">
        <v>692</v>
      </c>
      <c r="I166" t="s">
        <v>40</v>
      </c>
      <c r="J166" t="s">
        <v>40</v>
      </c>
      <c r="K166" t="s">
        <v>40</v>
      </c>
      <c r="L166" t="s">
        <v>40</v>
      </c>
      <c r="M166">
        <v>0</v>
      </c>
      <c r="N166">
        <v>200</v>
      </c>
      <c r="O166">
        <v>1</v>
      </c>
      <c r="P166">
        <v>0</v>
      </c>
      <c r="Q166" t="s">
        <v>77</v>
      </c>
      <c r="R166" t="b">
        <v>0</v>
      </c>
      <c r="S166" t="s">
        <v>87</v>
      </c>
      <c r="T166">
        <v>44936</v>
      </c>
      <c r="U166" t="s">
        <v>229</v>
      </c>
      <c r="V166" s="2">
        <v>44949.495879617985</v>
      </c>
      <c r="W166" t="s">
        <v>40</v>
      </c>
      <c r="X166">
        <v>0</v>
      </c>
      <c r="Y166" t="s">
        <v>40</v>
      </c>
      <c r="Z166" t="s">
        <v>40</v>
      </c>
      <c r="AA166" t="s">
        <v>40</v>
      </c>
      <c r="AB166">
        <v>0</v>
      </c>
      <c r="AC166" t="s">
        <v>49</v>
      </c>
      <c r="AD166" t="s">
        <v>40</v>
      </c>
      <c r="AE166" t="s">
        <v>40</v>
      </c>
      <c r="AF166" t="s">
        <v>40</v>
      </c>
      <c r="AG166" t="s">
        <v>40</v>
      </c>
      <c r="AH166" t="s">
        <v>40</v>
      </c>
      <c r="AI166" t="s">
        <v>40</v>
      </c>
      <c r="AJ166" t="s">
        <v>40</v>
      </c>
      <c r="AK166" t="s">
        <v>40</v>
      </c>
      <c r="AL166" t="s">
        <v>40</v>
      </c>
      <c r="AM166" t="s">
        <v>40</v>
      </c>
    </row>
    <row r="167" spans="1:39" x14ac:dyDescent="0.2">
      <c r="A167" s="4" t="s">
        <v>693</v>
      </c>
      <c r="B167" s="4" t="s">
        <v>1606</v>
      </c>
      <c r="C167" s="4" t="s">
        <v>40</v>
      </c>
      <c r="D167" s="4" t="s">
        <v>40</v>
      </c>
      <c r="E167" s="4" t="s">
        <v>40</v>
      </c>
      <c r="F167" t="s">
        <v>40</v>
      </c>
      <c r="G167" t="s">
        <v>694</v>
      </c>
      <c r="H167" t="s">
        <v>695</v>
      </c>
      <c r="I167" t="s">
        <v>40</v>
      </c>
      <c r="J167" t="s">
        <v>40</v>
      </c>
      <c r="K167" t="s">
        <v>40</v>
      </c>
      <c r="L167" t="s">
        <v>40</v>
      </c>
      <c r="M167">
        <v>0</v>
      </c>
      <c r="N167">
        <v>200</v>
      </c>
      <c r="O167">
        <v>1</v>
      </c>
      <c r="P167">
        <v>0</v>
      </c>
      <c r="Q167" t="s">
        <v>77</v>
      </c>
      <c r="R167" t="b">
        <v>0</v>
      </c>
      <c r="S167" t="s">
        <v>46</v>
      </c>
      <c r="T167" s="1">
        <v>45076</v>
      </c>
      <c r="U167" t="s">
        <v>229</v>
      </c>
      <c r="V167" s="2">
        <v>44949.499166654889</v>
      </c>
      <c r="W167" t="s">
        <v>40</v>
      </c>
      <c r="X167">
        <v>0</v>
      </c>
      <c r="Y167" t="s">
        <v>40</v>
      </c>
      <c r="Z167" t="s">
        <v>40</v>
      </c>
      <c r="AA167" t="s">
        <v>40</v>
      </c>
      <c r="AB167">
        <v>2</v>
      </c>
      <c r="AC167" t="s">
        <v>49</v>
      </c>
      <c r="AD167" t="s">
        <v>40</v>
      </c>
      <c r="AE167" t="s">
        <v>40</v>
      </c>
      <c r="AF167" t="s">
        <v>40</v>
      </c>
      <c r="AG167" t="s">
        <v>40</v>
      </c>
      <c r="AH167" t="s">
        <v>40</v>
      </c>
      <c r="AI167" t="s">
        <v>40</v>
      </c>
      <c r="AJ167" t="s">
        <v>40</v>
      </c>
      <c r="AK167" t="s">
        <v>40</v>
      </c>
      <c r="AL167" t="s">
        <v>40</v>
      </c>
      <c r="AM167" t="s">
        <v>40</v>
      </c>
    </row>
    <row r="168" spans="1:39" x14ac:dyDescent="0.2">
      <c r="A168" s="4" t="s">
        <v>696</v>
      </c>
      <c r="B168" s="4" t="s">
        <v>1607</v>
      </c>
      <c r="C168" s="4" t="s">
        <v>40</v>
      </c>
      <c r="D168" s="4" t="s">
        <v>40</v>
      </c>
      <c r="E168" s="4" t="s">
        <v>40</v>
      </c>
      <c r="F168" t="s">
        <v>40</v>
      </c>
      <c r="G168" t="s">
        <v>697</v>
      </c>
      <c r="H168" t="s">
        <v>698</v>
      </c>
      <c r="I168" t="s">
        <v>40</v>
      </c>
      <c r="J168" t="s">
        <v>40</v>
      </c>
      <c r="K168" t="s">
        <v>40</v>
      </c>
      <c r="L168" t="s">
        <v>40</v>
      </c>
      <c r="M168">
        <v>19.600000000000001</v>
      </c>
      <c r="N168">
        <v>200</v>
      </c>
      <c r="O168">
        <v>1</v>
      </c>
      <c r="P168">
        <v>0</v>
      </c>
      <c r="Q168" t="s">
        <v>77</v>
      </c>
      <c r="R168" t="b">
        <v>0</v>
      </c>
      <c r="S168" t="s">
        <v>87</v>
      </c>
      <c r="T168">
        <v>45306</v>
      </c>
      <c r="U168" t="s">
        <v>229</v>
      </c>
      <c r="V168" s="2">
        <v>44949.626736099366</v>
      </c>
      <c r="W168" t="s">
        <v>40</v>
      </c>
      <c r="X168">
        <v>0</v>
      </c>
      <c r="Y168" t="s">
        <v>40</v>
      </c>
      <c r="Z168" t="s">
        <v>40</v>
      </c>
      <c r="AA168" t="s">
        <v>40</v>
      </c>
      <c r="AB168">
        <v>0</v>
      </c>
      <c r="AC168" t="s">
        <v>49</v>
      </c>
      <c r="AD168" t="s">
        <v>40</v>
      </c>
      <c r="AE168" t="s">
        <v>40</v>
      </c>
      <c r="AF168" t="s">
        <v>40</v>
      </c>
      <c r="AG168" t="s">
        <v>40</v>
      </c>
      <c r="AH168" t="s">
        <v>40</v>
      </c>
      <c r="AI168" t="s">
        <v>40</v>
      </c>
      <c r="AJ168" t="s">
        <v>40</v>
      </c>
      <c r="AK168" t="s">
        <v>40</v>
      </c>
      <c r="AL168" t="s">
        <v>40</v>
      </c>
      <c r="AM168" t="s">
        <v>40</v>
      </c>
    </row>
    <row r="169" spans="1:39" x14ac:dyDescent="0.2">
      <c r="A169" s="4" t="s">
        <v>699</v>
      </c>
      <c r="B169" s="4" t="s">
        <v>1608</v>
      </c>
      <c r="C169" s="4" t="s">
        <v>40</v>
      </c>
      <c r="D169" s="4" t="s">
        <v>40</v>
      </c>
      <c r="E169" s="4" t="s">
        <v>40</v>
      </c>
      <c r="F169" t="s">
        <v>40</v>
      </c>
      <c r="G169" t="s">
        <v>700</v>
      </c>
      <c r="H169" t="s">
        <v>701</v>
      </c>
      <c r="I169" t="s">
        <v>40</v>
      </c>
      <c r="J169" t="s">
        <v>40</v>
      </c>
      <c r="K169" t="s">
        <v>40</v>
      </c>
      <c r="L169" t="s">
        <v>40</v>
      </c>
      <c r="M169">
        <v>0</v>
      </c>
      <c r="N169">
        <v>200</v>
      </c>
      <c r="O169">
        <v>1</v>
      </c>
      <c r="P169">
        <v>0</v>
      </c>
      <c r="Q169" t="s">
        <v>77</v>
      </c>
      <c r="R169" t="b">
        <v>0</v>
      </c>
      <c r="S169" t="s">
        <v>87</v>
      </c>
      <c r="T169">
        <v>44952</v>
      </c>
      <c r="U169" t="s">
        <v>229</v>
      </c>
      <c r="V169" s="2">
        <v>44949.628564815037</v>
      </c>
      <c r="W169" t="s">
        <v>40</v>
      </c>
      <c r="X169">
        <v>0</v>
      </c>
      <c r="Y169" t="s">
        <v>40</v>
      </c>
      <c r="Z169" t="s">
        <v>40</v>
      </c>
      <c r="AA169" t="s">
        <v>40</v>
      </c>
      <c r="AB169">
        <v>0</v>
      </c>
      <c r="AC169" t="s">
        <v>49</v>
      </c>
      <c r="AD169" t="s">
        <v>40</v>
      </c>
      <c r="AE169" t="s">
        <v>40</v>
      </c>
      <c r="AF169" t="s">
        <v>40</v>
      </c>
      <c r="AG169" t="s">
        <v>40</v>
      </c>
      <c r="AH169" t="s">
        <v>40</v>
      </c>
      <c r="AI169" t="s">
        <v>40</v>
      </c>
      <c r="AJ169" t="s">
        <v>40</v>
      </c>
      <c r="AK169" t="s">
        <v>40</v>
      </c>
      <c r="AL169" t="s">
        <v>40</v>
      </c>
      <c r="AM169" t="s">
        <v>40</v>
      </c>
    </row>
    <row r="170" spans="1:39" x14ac:dyDescent="0.2">
      <c r="A170" s="4" t="s">
        <v>702</v>
      </c>
      <c r="B170" s="4" t="s">
        <v>1609</v>
      </c>
      <c r="C170" s="4" t="s">
        <v>40</v>
      </c>
      <c r="D170" s="4" t="s">
        <v>40</v>
      </c>
      <c r="E170" s="4" t="s">
        <v>40</v>
      </c>
      <c r="F170" t="s">
        <v>40</v>
      </c>
      <c r="G170" t="s">
        <v>703</v>
      </c>
      <c r="H170" t="s">
        <v>704</v>
      </c>
      <c r="I170" t="s">
        <v>40</v>
      </c>
      <c r="J170" t="s">
        <v>40</v>
      </c>
      <c r="K170" t="s">
        <v>40</v>
      </c>
      <c r="L170" t="s">
        <v>40</v>
      </c>
      <c r="M170">
        <v>61.260000000000005</v>
      </c>
      <c r="N170">
        <v>200</v>
      </c>
      <c r="O170">
        <v>1</v>
      </c>
      <c r="P170">
        <v>0</v>
      </c>
      <c r="Q170" t="s">
        <v>77</v>
      </c>
      <c r="R170" t="b">
        <v>0</v>
      </c>
      <c r="S170" t="s">
        <v>87</v>
      </c>
      <c r="T170" s="1">
        <v>45267</v>
      </c>
      <c r="U170" t="s">
        <v>229</v>
      </c>
      <c r="V170" s="2">
        <v>44949.630127314944</v>
      </c>
      <c r="W170" t="s">
        <v>40</v>
      </c>
      <c r="X170">
        <v>0</v>
      </c>
      <c r="Y170" t="s">
        <v>40</v>
      </c>
      <c r="Z170" t="s">
        <v>40</v>
      </c>
      <c r="AA170" t="s">
        <v>40</v>
      </c>
      <c r="AB170">
        <v>0</v>
      </c>
      <c r="AC170" t="s">
        <v>49</v>
      </c>
      <c r="AD170" t="s">
        <v>40</v>
      </c>
      <c r="AE170" t="s">
        <v>40</v>
      </c>
      <c r="AF170" t="s">
        <v>40</v>
      </c>
      <c r="AG170" t="s">
        <v>40</v>
      </c>
      <c r="AH170" t="s">
        <v>40</v>
      </c>
      <c r="AI170" t="s">
        <v>40</v>
      </c>
      <c r="AJ170" t="s">
        <v>40</v>
      </c>
      <c r="AK170" t="s">
        <v>40</v>
      </c>
      <c r="AL170" t="s">
        <v>40</v>
      </c>
      <c r="AM170" t="s">
        <v>40</v>
      </c>
    </row>
    <row r="171" spans="1:39" x14ac:dyDescent="0.2">
      <c r="A171" s="4" t="s">
        <v>705</v>
      </c>
      <c r="B171" s="4" t="s">
        <v>706</v>
      </c>
      <c r="C171" s="4" t="s">
        <v>40</v>
      </c>
      <c r="D171" s="4" t="s">
        <v>40</v>
      </c>
      <c r="E171" s="4" t="s">
        <v>40</v>
      </c>
      <c r="F171" t="s">
        <v>40</v>
      </c>
      <c r="G171" t="s">
        <v>707</v>
      </c>
      <c r="H171" t="s">
        <v>708</v>
      </c>
      <c r="I171" t="s">
        <v>40</v>
      </c>
      <c r="J171" t="s">
        <v>40</v>
      </c>
      <c r="K171" t="s">
        <v>40</v>
      </c>
      <c r="L171" t="s">
        <v>40</v>
      </c>
      <c r="M171">
        <v>19.600000000000001</v>
      </c>
      <c r="N171">
        <v>200</v>
      </c>
      <c r="O171">
        <v>2</v>
      </c>
      <c r="P171">
        <v>30</v>
      </c>
      <c r="Q171" t="s">
        <v>77</v>
      </c>
      <c r="R171" t="b">
        <v>0</v>
      </c>
      <c r="S171" t="s">
        <v>40</v>
      </c>
      <c r="T171" s="1">
        <v>45079</v>
      </c>
      <c r="U171" t="s">
        <v>229</v>
      </c>
      <c r="V171" s="2">
        <v>44949.631388877518</v>
      </c>
      <c r="W171" t="s">
        <v>40</v>
      </c>
      <c r="X171">
        <v>0</v>
      </c>
      <c r="Y171" t="s">
        <v>40</v>
      </c>
      <c r="Z171" t="s">
        <v>40</v>
      </c>
      <c r="AA171" t="s">
        <v>40</v>
      </c>
      <c r="AB171">
        <v>2</v>
      </c>
      <c r="AC171" t="s">
        <v>49</v>
      </c>
      <c r="AD171" t="s">
        <v>40</v>
      </c>
      <c r="AE171" t="s">
        <v>40</v>
      </c>
      <c r="AF171" t="s">
        <v>40</v>
      </c>
      <c r="AG171" t="s">
        <v>40</v>
      </c>
      <c r="AH171" t="s">
        <v>40</v>
      </c>
      <c r="AI171" t="s">
        <v>40</v>
      </c>
      <c r="AJ171" t="s">
        <v>40</v>
      </c>
      <c r="AK171" t="s">
        <v>40</v>
      </c>
      <c r="AL171" t="s">
        <v>40</v>
      </c>
      <c r="AM171" t="s">
        <v>40</v>
      </c>
    </row>
    <row r="172" spans="1:39" x14ac:dyDescent="0.2">
      <c r="A172" s="4" t="s">
        <v>709</v>
      </c>
      <c r="B172" s="4" t="s">
        <v>1610</v>
      </c>
      <c r="C172" s="4" t="s">
        <v>710</v>
      </c>
      <c r="D172" s="4" t="s">
        <v>711</v>
      </c>
      <c r="E172" s="4" t="s">
        <v>526</v>
      </c>
      <c r="F172" t="s">
        <v>712</v>
      </c>
      <c r="G172" t="s">
        <v>713</v>
      </c>
      <c r="H172" t="s">
        <v>714</v>
      </c>
      <c r="I172" t="s">
        <v>40</v>
      </c>
      <c r="J172" t="s">
        <v>40</v>
      </c>
      <c r="K172" t="s">
        <v>40</v>
      </c>
      <c r="L172" t="s">
        <v>40</v>
      </c>
      <c r="M172">
        <v>0.01</v>
      </c>
      <c r="N172">
        <v>200</v>
      </c>
      <c r="O172">
        <v>1</v>
      </c>
      <c r="P172">
        <v>0</v>
      </c>
      <c r="Q172" t="s">
        <v>77</v>
      </c>
      <c r="R172" t="b">
        <v>0</v>
      </c>
      <c r="S172" t="s">
        <v>40</v>
      </c>
      <c r="T172" s="1">
        <v>44953</v>
      </c>
      <c r="U172" t="s">
        <v>229</v>
      </c>
      <c r="V172" s="2">
        <v>44949.632581006736</v>
      </c>
      <c r="W172" t="s">
        <v>40</v>
      </c>
      <c r="X172">
        <v>0</v>
      </c>
      <c r="Y172" t="s">
        <v>40</v>
      </c>
      <c r="Z172" t="s">
        <v>40</v>
      </c>
      <c r="AA172" t="s">
        <v>40</v>
      </c>
      <c r="AB172">
        <v>0</v>
      </c>
      <c r="AC172" t="s">
        <v>49</v>
      </c>
      <c r="AD172" t="s">
        <v>40</v>
      </c>
      <c r="AE172" t="s">
        <v>40</v>
      </c>
      <c r="AF172" t="s">
        <v>40</v>
      </c>
      <c r="AG172" t="s">
        <v>40</v>
      </c>
      <c r="AH172" t="s">
        <v>40</v>
      </c>
      <c r="AI172" t="s">
        <v>40</v>
      </c>
      <c r="AJ172" t="s">
        <v>40</v>
      </c>
      <c r="AK172" t="s">
        <v>40</v>
      </c>
      <c r="AL172" t="s">
        <v>40</v>
      </c>
      <c r="AM172" t="s">
        <v>40</v>
      </c>
    </row>
    <row r="173" spans="1:39" x14ac:dyDescent="0.2">
      <c r="A173" s="4" t="s">
        <v>715</v>
      </c>
      <c r="B173" s="4" t="s">
        <v>716</v>
      </c>
      <c r="C173" s="4" t="s">
        <v>40</v>
      </c>
      <c r="D173" s="4" t="s">
        <v>40</v>
      </c>
      <c r="E173" s="4" t="s">
        <v>40</v>
      </c>
      <c r="F173" t="s">
        <v>40</v>
      </c>
      <c r="G173" t="s">
        <v>717</v>
      </c>
      <c r="H173" t="s">
        <v>371</v>
      </c>
      <c r="I173" t="s">
        <v>40</v>
      </c>
      <c r="J173" t="s">
        <v>40</v>
      </c>
      <c r="K173" t="s">
        <v>40</v>
      </c>
      <c r="L173" t="s">
        <v>40</v>
      </c>
      <c r="M173">
        <v>19.59</v>
      </c>
      <c r="N173">
        <v>200</v>
      </c>
      <c r="O173">
        <v>1</v>
      </c>
      <c r="P173">
        <v>0</v>
      </c>
      <c r="Q173" t="s">
        <v>77</v>
      </c>
      <c r="R173" t="b">
        <v>0</v>
      </c>
      <c r="S173" t="s">
        <v>87</v>
      </c>
      <c r="T173">
        <v>44953</v>
      </c>
      <c r="U173" t="s">
        <v>229</v>
      </c>
      <c r="V173" s="2">
        <v>44949.633263877127</v>
      </c>
      <c r="W173" t="s">
        <v>40</v>
      </c>
      <c r="X173">
        <v>0</v>
      </c>
      <c r="Y173" t="s">
        <v>40</v>
      </c>
      <c r="Z173" t="s">
        <v>40</v>
      </c>
      <c r="AA173" t="s">
        <v>40</v>
      </c>
      <c r="AB173">
        <v>2</v>
      </c>
      <c r="AC173" t="s">
        <v>49</v>
      </c>
      <c r="AD173" t="s">
        <v>40</v>
      </c>
      <c r="AE173" t="s">
        <v>40</v>
      </c>
      <c r="AF173" t="s">
        <v>40</v>
      </c>
      <c r="AG173" t="s">
        <v>40</v>
      </c>
      <c r="AH173" t="s">
        <v>40</v>
      </c>
      <c r="AI173" t="s">
        <v>40</v>
      </c>
      <c r="AJ173" t="s">
        <v>40</v>
      </c>
      <c r="AK173" t="s">
        <v>40</v>
      </c>
      <c r="AL173" t="s">
        <v>40</v>
      </c>
      <c r="AM173" t="s">
        <v>40</v>
      </c>
    </row>
    <row r="174" spans="1:39" x14ac:dyDescent="0.2">
      <c r="A174" s="4" t="s">
        <v>718</v>
      </c>
      <c r="B174" s="4" t="s">
        <v>719</v>
      </c>
      <c r="C174" s="4" t="s">
        <v>40</v>
      </c>
      <c r="D174" s="4" t="s">
        <v>40</v>
      </c>
      <c r="E174" s="4" t="s">
        <v>40</v>
      </c>
      <c r="F174" t="s">
        <v>40</v>
      </c>
      <c r="G174" t="s">
        <v>720</v>
      </c>
      <c r="H174" t="s">
        <v>721</v>
      </c>
      <c r="I174" t="s">
        <v>40</v>
      </c>
      <c r="J174" t="s">
        <v>40</v>
      </c>
      <c r="K174" t="s">
        <v>40</v>
      </c>
      <c r="L174" t="s">
        <v>40</v>
      </c>
      <c r="M174">
        <v>0</v>
      </c>
      <c r="N174">
        <v>200</v>
      </c>
      <c r="O174">
        <v>1</v>
      </c>
      <c r="P174">
        <v>0</v>
      </c>
      <c r="Q174" t="s">
        <v>77</v>
      </c>
      <c r="R174" t="b">
        <v>0</v>
      </c>
      <c r="S174" t="s">
        <v>87</v>
      </c>
      <c r="T174" s="1">
        <v>44955</v>
      </c>
      <c r="U174" t="s">
        <v>229</v>
      </c>
      <c r="V174" s="2">
        <v>44949.68880785862</v>
      </c>
      <c r="W174" t="s">
        <v>40</v>
      </c>
      <c r="X174">
        <v>0</v>
      </c>
      <c r="Y174" t="s">
        <v>40</v>
      </c>
      <c r="Z174" t="s">
        <v>40</v>
      </c>
      <c r="AA174" t="s">
        <v>40</v>
      </c>
      <c r="AB174">
        <v>0</v>
      </c>
      <c r="AC174" t="s">
        <v>49</v>
      </c>
      <c r="AD174" t="s">
        <v>40</v>
      </c>
      <c r="AE174" t="s">
        <v>40</v>
      </c>
      <c r="AF174" t="s">
        <v>40</v>
      </c>
      <c r="AG174" t="s">
        <v>40</v>
      </c>
      <c r="AH174" t="s">
        <v>40</v>
      </c>
      <c r="AI174" t="s">
        <v>40</v>
      </c>
      <c r="AJ174" t="s">
        <v>40</v>
      </c>
      <c r="AK174" t="s">
        <v>40</v>
      </c>
      <c r="AL174" t="s">
        <v>40</v>
      </c>
      <c r="AM174" t="s">
        <v>40</v>
      </c>
    </row>
    <row r="175" spans="1:39" x14ac:dyDescent="0.2">
      <c r="A175" s="4" t="s">
        <v>722</v>
      </c>
      <c r="B175" s="4" t="s">
        <v>723</v>
      </c>
      <c r="C175" s="4" t="s">
        <v>40</v>
      </c>
      <c r="D175" s="4" t="s">
        <v>40</v>
      </c>
      <c r="E175" s="4" t="s">
        <v>40</v>
      </c>
      <c r="F175" t="s">
        <v>40</v>
      </c>
      <c r="G175" t="s">
        <v>724</v>
      </c>
      <c r="H175" t="s">
        <v>725</v>
      </c>
      <c r="I175" t="s">
        <v>40</v>
      </c>
      <c r="J175" t="s">
        <v>40</v>
      </c>
      <c r="K175" t="s">
        <v>40</v>
      </c>
      <c r="L175" t="s">
        <v>40</v>
      </c>
      <c r="M175">
        <v>0</v>
      </c>
      <c r="N175">
        <v>200</v>
      </c>
      <c r="O175">
        <v>1</v>
      </c>
      <c r="P175">
        <v>0</v>
      </c>
      <c r="Q175" t="s">
        <v>77</v>
      </c>
      <c r="R175" t="b">
        <v>0</v>
      </c>
      <c r="S175" t="s">
        <v>46</v>
      </c>
      <c r="T175">
        <v>44965</v>
      </c>
      <c r="U175" t="s">
        <v>229</v>
      </c>
      <c r="V175" s="2">
        <v>44949.689375000075</v>
      </c>
      <c r="W175" t="s">
        <v>40</v>
      </c>
      <c r="X175">
        <v>0</v>
      </c>
      <c r="Y175" t="s">
        <v>40</v>
      </c>
      <c r="Z175" t="s">
        <v>40</v>
      </c>
      <c r="AA175" t="s">
        <v>40</v>
      </c>
      <c r="AB175">
        <v>0</v>
      </c>
      <c r="AC175" t="s">
        <v>49</v>
      </c>
      <c r="AD175" t="s">
        <v>40</v>
      </c>
      <c r="AE175" t="s">
        <v>40</v>
      </c>
      <c r="AF175" t="s">
        <v>40</v>
      </c>
      <c r="AG175" t="s">
        <v>40</v>
      </c>
      <c r="AH175" t="s">
        <v>40</v>
      </c>
      <c r="AI175" t="s">
        <v>40</v>
      </c>
      <c r="AJ175" t="s">
        <v>40</v>
      </c>
      <c r="AK175" t="s">
        <v>40</v>
      </c>
      <c r="AL175" t="s">
        <v>40</v>
      </c>
      <c r="AM175" t="s">
        <v>40</v>
      </c>
    </row>
    <row r="176" spans="1:39" x14ac:dyDescent="0.2">
      <c r="A176" s="4" t="s">
        <v>726</v>
      </c>
      <c r="B176" s="4" t="s">
        <v>727</v>
      </c>
      <c r="C176" s="4" t="s">
        <v>40</v>
      </c>
      <c r="D176" s="4" t="s">
        <v>40</v>
      </c>
      <c r="E176" s="4" t="s">
        <v>40</v>
      </c>
      <c r="F176" t="s">
        <v>40</v>
      </c>
      <c r="G176" t="s">
        <v>728</v>
      </c>
      <c r="H176" t="s">
        <v>729</v>
      </c>
      <c r="I176" t="s">
        <v>40</v>
      </c>
      <c r="J176" t="s">
        <v>40</v>
      </c>
      <c r="K176" t="s">
        <v>40</v>
      </c>
      <c r="L176" t="s">
        <v>40</v>
      </c>
      <c r="M176">
        <v>0</v>
      </c>
      <c r="N176">
        <v>200</v>
      </c>
      <c r="O176">
        <v>1</v>
      </c>
      <c r="P176">
        <v>0</v>
      </c>
      <c r="Q176" t="s">
        <v>77</v>
      </c>
      <c r="R176" t="b">
        <v>0</v>
      </c>
      <c r="S176" t="s">
        <v>87</v>
      </c>
      <c r="T176" s="1">
        <v>45190</v>
      </c>
      <c r="U176" t="s">
        <v>229</v>
      </c>
      <c r="V176" s="2">
        <v>44949.692118055653</v>
      </c>
      <c r="W176" t="s">
        <v>40</v>
      </c>
      <c r="X176">
        <v>0</v>
      </c>
      <c r="Y176" t="s">
        <v>40</v>
      </c>
      <c r="Z176" t="s">
        <v>40</v>
      </c>
      <c r="AA176" t="s">
        <v>40</v>
      </c>
      <c r="AB176">
        <v>0</v>
      </c>
      <c r="AC176" t="s">
        <v>49</v>
      </c>
      <c r="AD176" t="s">
        <v>40</v>
      </c>
      <c r="AE176" t="s">
        <v>40</v>
      </c>
      <c r="AF176" t="s">
        <v>40</v>
      </c>
      <c r="AG176" t="s">
        <v>40</v>
      </c>
      <c r="AH176" t="s">
        <v>40</v>
      </c>
      <c r="AI176" t="s">
        <v>40</v>
      </c>
      <c r="AJ176" t="s">
        <v>40</v>
      </c>
      <c r="AK176" t="s">
        <v>40</v>
      </c>
      <c r="AL176" t="s">
        <v>40</v>
      </c>
      <c r="AM176" t="s">
        <v>40</v>
      </c>
    </row>
    <row r="177" spans="1:39" x14ac:dyDescent="0.2">
      <c r="A177" s="4" t="s">
        <v>730</v>
      </c>
      <c r="B177" s="4" t="s">
        <v>731</v>
      </c>
      <c r="C177" s="4" t="s">
        <v>40</v>
      </c>
      <c r="D177" s="4" t="s">
        <v>40</v>
      </c>
      <c r="E177" s="4" t="s">
        <v>40</v>
      </c>
      <c r="F177" t="s">
        <v>40</v>
      </c>
      <c r="G177" t="s">
        <v>732</v>
      </c>
      <c r="H177" t="s">
        <v>733</v>
      </c>
      <c r="I177" t="s">
        <v>40</v>
      </c>
      <c r="J177" t="s">
        <v>40</v>
      </c>
      <c r="K177" t="s">
        <v>40</v>
      </c>
      <c r="L177" t="s">
        <v>40</v>
      </c>
      <c r="M177">
        <v>36.75</v>
      </c>
      <c r="N177">
        <v>200</v>
      </c>
      <c r="O177">
        <v>2</v>
      </c>
      <c r="P177">
        <v>30</v>
      </c>
      <c r="Q177" t="s">
        <v>77</v>
      </c>
      <c r="R177" t="b">
        <v>0</v>
      </c>
      <c r="S177" t="s">
        <v>40</v>
      </c>
      <c r="T177">
        <v>44943</v>
      </c>
      <c r="U177" t="s">
        <v>229</v>
      </c>
      <c r="V177" s="2">
        <v>44949.728541655</v>
      </c>
      <c r="W177" t="s">
        <v>40</v>
      </c>
      <c r="X177">
        <v>0</v>
      </c>
      <c r="Y177" t="s">
        <v>40</v>
      </c>
      <c r="Z177" t="s">
        <v>40</v>
      </c>
      <c r="AA177" t="s">
        <v>40</v>
      </c>
      <c r="AB177">
        <v>1</v>
      </c>
      <c r="AC177" t="s">
        <v>49</v>
      </c>
      <c r="AD177" t="s">
        <v>40</v>
      </c>
      <c r="AE177" t="s">
        <v>40</v>
      </c>
      <c r="AF177" t="s">
        <v>40</v>
      </c>
      <c r="AG177" t="s">
        <v>40</v>
      </c>
      <c r="AH177" t="s">
        <v>40</v>
      </c>
      <c r="AI177" t="s">
        <v>40</v>
      </c>
      <c r="AJ177" t="s">
        <v>40</v>
      </c>
      <c r="AK177" t="s">
        <v>40</v>
      </c>
      <c r="AL177" t="s">
        <v>40</v>
      </c>
      <c r="AM177" t="s">
        <v>40</v>
      </c>
    </row>
    <row r="178" spans="1:39" x14ac:dyDescent="0.2">
      <c r="A178" s="4" t="s">
        <v>734</v>
      </c>
      <c r="B178" s="4" t="s">
        <v>1611</v>
      </c>
      <c r="C178" s="4" t="s">
        <v>40</v>
      </c>
      <c r="D178" s="4" t="s">
        <v>40</v>
      </c>
      <c r="E178" s="4" t="s">
        <v>40</v>
      </c>
      <c r="F178" t="s">
        <v>40</v>
      </c>
      <c r="G178" t="s">
        <v>735</v>
      </c>
      <c r="H178" t="s">
        <v>736</v>
      </c>
      <c r="I178" t="s">
        <v>40</v>
      </c>
      <c r="J178" t="s">
        <v>40</v>
      </c>
      <c r="K178" t="s">
        <v>40</v>
      </c>
      <c r="L178" t="s">
        <v>40</v>
      </c>
      <c r="M178">
        <v>90.65</v>
      </c>
      <c r="N178">
        <v>200</v>
      </c>
      <c r="O178">
        <v>2</v>
      </c>
      <c r="P178">
        <v>30</v>
      </c>
      <c r="Q178" t="s">
        <v>77</v>
      </c>
      <c r="R178" t="b">
        <v>0</v>
      </c>
      <c r="S178" t="s">
        <v>87</v>
      </c>
      <c r="T178">
        <v>45315</v>
      </c>
      <c r="U178" t="s">
        <v>229</v>
      </c>
      <c r="V178" s="2">
        <v>44950.742754629813</v>
      </c>
      <c r="W178" t="s">
        <v>40</v>
      </c>
      <c r="X178">
        <v>0</v>
      </c>
      <c r="Y178" t="s">
        <v>40</v>
      </c>
      <c r="Z178" t="s">
        <v>40</v>
      </c>
      <c r="AA178" t="s">
        <v>40</v>
      </c>
      <c r="AB178">
        <v>0</v>
      </c>
      <c r="AC178" t="s">
        <v>49</v>
      </c>
      <c r="AD178" t="s">
        <v>40</v>
      </c>
      <c r="AE178" t="s">
        <v>40</v>
      </c>
      <c r="AF178" t="s">
        <v>40</v>
      </c>
      <c r="AG178" t="s">
        <v>40</v>
      </c>
      <c r="AH178" t="s">
        <v>40</v>
      </c>
      <c r="AI178" t="s">
        <v>40</v>
      </c>
      <c r="AJ178" t="s">
        <v>40</v>
      </c>
      <c r="AK178" t="s">
        <v>40</v>
      </c>
      <c r="AL178" t="s">
        <v>40</v>
      </c>
      <c r="AM178" t="s">
        <v>40</v>
      </c>
    </row>
    <row r="179" spans="1:39" x14ac:dyDescent="0.2">
      <c r="A179" s="4" t="s">
        <v>737</v>
      </c>
      <c r="B179" s="4" t="s">
        <v>738</v>
      </c>
      <c r="C179" s="4" t="s">
        <v>40</v>
      </c>
      <c r="D179" s="4" t="s">
        <v>40</v>
      </c>
      <c r="E179" s="4" t="s">
        <v>40</v>
      </c>
      <c r="F179" t="s">
        <v>40</v>
      </c>
      <c r="G179" t="s">
        <v>737</v>
      </c>
      <c r="H179" t="s">
        <v>40</v>
      </c>
      <c r="I179" t="s">
        <v>40</v>
      </c>
      <c r="J179" t="s">
        <v>40</v>
      </c>
      <c r="K179" t="s">
        <v>40</v>
      </c>
      <c r="L179" t="s">
        <v>40</v>
      </c>
      <c r="M179">
        <v>13.25</v>
      </c>
      <c r="N179">
        <v>200</v>
      </c>
      <c r="O179">
        <v>2</v>
      </c>
      <c r="P179">
        <v>30</v>
      </c>
      <c r="Q179" t="s">
        <v>77</v>
      </c>
      <c r="R179" t="b">
        <v>0</v>
      </c>
      <c r="S179" t="s">
        <v>40</v>
      </c>
      <c r="T179" s="1">
        <v>45059</v>
      </c>
      <c r="U179" t="s">
        <v>229</v>
      </c>
      <c r="V179" s="2">
        <v>44958.566493055783</v>
      </c>
      <c r="W179" t="s">
        <v>40</v>
      </c>
      <c r="X179">
        <v>0</v>
      </c>
      <c r="Y179" t="s">
        <v>40</v>
      </c>
      <c r="Z179" t="s">
        <v>40</v>
      </c>
      <c r="AA179" t="s">
        <v>40</v>
      </c>
      <c r="AB179">
        <v>0</v>
      </c>
      <c r="AC179" t="s">
        <v>49</v>
      </c>
      <c r="AD179" t="s">
        <v>40</v>
      </c>
      <c r="AE179" t="s">
        <v>40</v>
      </c>
      <c r="AF179" t="s">
        <v>40</v>
      </c>
      <c r="AG179" t="s">
        <v>40</v>
      </c>
      <c r="AH179" t="s">
        <v>40</v>
      </c>
      <c r="AI179" t="s">
        <v>40</v>
      </c>
      <c r="AJ179" t="s">
        <v>40</v>
      </c>
      <c r="AK179" t="s">
        <v>40</v>
      </c>
      <c r="AL179" t="s">
        <v>40</v>
      </c>
      <c r="AM179" t="s">
        <v>40</v>
      </c>
    </row>
    <row r="180" spans="1:39" x14ac:dyDescent="0.2">
      <c r="A180" s="4" t="s">
        <v>739</v>
      </c>
      <c r="B180" s="4" t="s">
        <v>1612</v>
      </c>
      <c r="C180" s="4" t="s">
        <v>40</v>
      </c>
      <c r="D180" s="4" t="s">
        <v>40</v>
      </c>
      <c r="E180" s="4" t="s">
        <v>40</v>
      </c>
      <c r="F180" t="s">
        <v>40</v>
      </c>
      <c r="G180" t="s">
        <v>740</v>
      </c>
      <c r="H180" t="s">
        <v>40</v>
      </c>
      <c r="I180" t="s">
        <v>40</v>
      </c>
      <c r="J180" t="s">
        <v>40</v>
      </c>
      <c r="K180" t="s">
        <v>40</v>
      </c>
      <c r="L180" t="s">
        <v>40</v>
      </c>
      <c r="M180">
        <v>0</v>
      </c>
      <c r="N180">
        <v>500</v>
      </c>
      <c r="O180">
        <v>2</v>
      </c>
      <c r="P180">
        <v>30</v>
      </c>
      <c r="Q180" t="s">
        <v>77</v>
      </c>
      <c r="R180" t="b">
        <v>0</v>
      </c>
      <c r="S180" t="s">
        <v>40</v>
      </c>
      <c r="T180" t="s">
        <v>49</v>
      </c>
      <c r="U180" t="s">
        <v>229</v>
      </c>
      <c r="V180" s="2">
        <v>44958.57847221056</v>
      </c>
      <c r="W180" t="s">
        <v>40</v>
      </c>
      <c r="X180">
        <v>0</v>
      </c>
      <c r="Y180" t="s">
        <v>40</v>
      </c>
      <c r="Z180" t="s">
        <v>40</v>
      </c>
      <c r="AA180" t="s">
        <v>40</v>
      </c>
      <c r="AB180">
        <v>0</v>
      </c>
      <c r="AC180" t="s">
        <v>49</v>
      </c>
      <c r="AD180" t="s">
        <v>40</v>
      </c>
      <c r="AE180" t="s">
        <v>40</v>
      </c>
      <c r="AF180" t="s">
        <v>40</v>
      </c>
      <c r="AG180" t="s">
        <v>40</v>
      </c>
      <c r="AH180" t="s">
        <v>40</v>
      </c>
      <c r="AI180" t="s">
        <v>40</v>
      </c>
      <c r="AJ180" t="s">
        <v>40</v>
      </c>
      <c r="AK180" t="s">
        <v>40</v>
      </c>
      <c r="AL180" t="s">
        <v>40</v>
      </c>
      <c r="AM180" t="s">
        <v>40</v>
      </c>
    </row>
    <row r="181" spans="1:39" x14ac:dyDescent="0.2">
      <c r="A181" s="4" t="s">
        <v>741</v>
      </c>
      <c r="B181" s="4" t="s">
        <v>1613</v>
      </c>
      <c r="C181" s="4" t="s">
        <v>40</v>
      </c>
      <c r="D181" s="4" t="s">
        <v>40</v>
      </c>
      <c r="E181" s="4" t="s">
        <v>40</v>
      </c>
      <c r="F181" t="s">
        <v>40</v>
      </c>
      <c r="G181" t="s">
        <v>742</v>
      </c>
      <c r="H181" t="s">
        <v>743</v>
      </c>
      <c r="I181" t="s">
        <v>40</v>
      </c>
      <c r="J181" t="s">
        <v>40</v>
      </c>
      <c r="K181" t="s">
        <v>40</v>
      </c>
      <c r="L181" t="s">
        <v>40</v>
      </c>
      <c r="M181">
        <v>0</v>
      </c>
      <c r="N181">
        <v>500</v>
      </c>
      <c r="O181">
        <v>1</v>
      </c>
      <c r="P181">
        <v>0</v>
      </c>
      <c r="Q181" t="s">
        <v>77</v>
      </c>
      <c r="R181" t="b">
        <v>0</v>
      </c>
      <c r="S181" t="s">
        <v>87</v>
      </c>
      <c r="T181">
        <v>44949</v>
      </c>
      <c r="U181" t="s">
        <v>229</v>
      </c>
      <c r="V181" s="2">
        <v>44958.58903934015</v>
      </c>
      <c r="W181" t="s">
        <v>40</v>
      </c>
      <c r="X181">
        <v>0</v>
      </c>
      <c r="Y181" t="s">
        <v>40</v>
      </c>
      <c r="Z181" t="s">
        <v>40</v>
      </c>
      <c r="AA181" t="s">
        <v>40</v>
      </c>
      <c r="AB181">
        <v>2</v>
      </c>
      <c r="AC181" t="s">
        <v>49</v>
      </c>
      <c r="AD181" t="s">
        <v>40</v>
      </c>
      <c r="AE181" t="s">
        <v>40</v>
      </c>
      <c r="AF181" t="s">
        <v>40</v>
      </c>
      <c r="AG181" t="s">
        <v>40</v>
      </c>
      <c r="AH181" t="s">
        <v>40</v>
      </c>
      <c r="AI181" t="s">
        <v>40</v>
      </c>
      <c r="AJ181" t="s">
        <v>40</v>
      </c>
      <c r="AK181" t="s">
        <v>40</v>
      </c>
      <c r="AL181" t="s">
        <v>40</v>
      </c>
      <c r="AM181" t="s">
        <v>40</v>
      </c>
    </row>
    <row r="182" spans="1:39" x14ac:dyDescent="0.2">
      <c r="A182" s="4" t="s">
        <v>744</v>
      </c>
      <c r="B182" s="4" t="s">
        <v>745</v>
      </c>
      <c r="C182" s="4" t="s">
        <v>40</v>
      </c>
      <c r="D182" s="4" t="s">
        <v>40</v>
      </c>
      <c r="E182" s="4" t="s">
        <v>40</v>
      </c>
      <c r="F182" t="s">
        <v>40</v>
      </c>
      <c r="G182" t="s">
        <v>744</v>
      </c>
      <c r="H182" t="s">
        <v>40</v>
      </c>
      <c r="I182" t="s">
        <v>40</v>
      </c>
      <c r="J182" t="s">
        <v>40</v>
      </c>
      <c r="K182" t="s">
        <v>40</v>
      </c>
      <c r="L182" t="s">
        <v>40</v>
      </c>
      <c r="M182">
        <v>17.45</v>
      </c>
      <c r="N182">
        <v>200</v>
      </c>
      <c r="O182">
        <v>2</v>
      </c>
      <c r="P182">
        <v>30</v>
      </c>
      <c r="Q182" t="s">
        <v>77</v>
      </c>
      <c r="R182" t="b">
        <v>0</v>
      </c>
      <c r="S182" t="s">
        <v>40</v>
      </c>
      <c r="T182" s="1">
        <v>45077</v>
      </c>
      <c r="U182" t="s">
        <v>229</v>
      </c>
      <c r="V182" s="2">
        <v>44959.424305543769</v>
      </c>
      <c r="W182" t="s">
        <v>40</v>
      </c>
      <c r="X182">
        <v>0</v>
      </c>
      <c r="Y182" t="s">
        <v>40</v>
      </c>
      <c r="Z182" t="s">
        <v>40</v>
      </c>
      <c r="AA182" t="s">
        <v>40</v>
      </c>
      <c r="AB182">
        <v>0</v>
      </c>
      <c r="AC182" t="s">
        <v>49</v>
      </c>
      <c r="AD182" t="s">
        <v>40</v>
      </c>
      <c r="AE182" t="s">
        <v>40</v>
      </c>
      <c r="AF182" t="s">
        <v>40</v>
      </c>
      <c r="AG182" t="s">
        <v>40</v>
      </c>
      <c r="AH182" t="s">
        <v>40</v>
      </c>
      <c r="AI182" t="s">
        <v>40</v>
      </c>
      <c r="AJ182" t="s">
        <v>40</v>
      </c>
      <c r="AK182" t="s">
        <v>40</v>
      </c>
      <c r="AL182" t="s">
        <v>40</v>
      </c>
      <c r="AM182" t="s">
        <v>40</v>
      </c>
    </row>
    <row r="183" spans="1:39" x14ac:dyDescent="0.2">
      <c r="A183" s="4" t="s">
        <v>746</v>
      </c>
      <c r="B183" s="4" t="s">
        <v>1614</v>
      </c>
      <c r="C183" s="4" t="s">
        <v>40</v>
      </c>
      <c r="D183" s="4" t="s">
        <v>40</v>
      </c>
      <c r="E183" s="4" t="s">
        <v>40</v>
      </c>
      <c r="F183" t="s">
        <v>40</v>
      </c>
      <c r="G183" t="s">
        <v>747</v>
      </c>
      <c r="H183" t="s">
        <v>748</v>
      </c>
      <c r="I183" t="s">
        <v>40</v>
      </c>
      <c r="J183" t="s">
        <v>40</v>
      </c>
      <c r="K183" t="s">
        <v>40</v>
      </c>
      <c r="L183" t="s">
        <v>40</v>
      </c>
      <c r="M183">
        <v>680.26</v>
      </c>
      <c r="N183">
        <v>500</v>
      </c>
      <c r="O183">
        <v>2</v>
      </c>
      <c r="P183">
        <v>30</v>
      </c>
      <c r="Q183" t="s">
        <v>77</v>
      </c>
      <c r="R183" t="b">
        <v>0</v>
      </c>
      <c r="S183" t="s">
        <v>87</v>
      </c>
      <c r="T183">
        <v>45344</v>
      </c>
      <c r="U183" t="s">
        <v>229</v>
      </c>
      <c r="V183" s="2">
        <v>44959.427835636772</v>
      </c>
      <c r="W183" t="s">
        <v>40</v>
      </c>
      <c r="X183">
        <v>0</v>
      </c>
      <c r="Y183" t="s">
        <v>40</v>
      </c>
      <c r="Z183" t="s">
        <v>40</v>
      </c>
      <c r="AA183" t="s">
        <v>40</v>
      </c>
      <c r="AB183">
        <v>0</v>
      </c>
      <c r="AC183" t="s">
        <v>49</v>
      </c>
      <c r="AD183" t="s">
        <v>40</v>
      </c>
      <c r="AE183" t="s">
        <v>40</v>
      </c>
      <c r="AF183" t="s">
        <v>40</v>
      </c>
      <c r="AG183" t="s">
        <v>40</v>
      </c>
      <c r="AH183" t="s">
        <v>40</v>
      </c>
      <c r="AI183" t="s">
        <v>40</v>
      </c>
      <c r="AJ183" t="s">
        <v>40</v>
      </c>
      <c r="AK183" t="s">
        <v>40</v>
      </c>
      <c r="AL183" t="s">
        <v>40</v>
      </c>
      <c r="AM183" t="s">
        <v>40</v>
      </c>
    </row>
    <row r="184" spans="1:39" x14ac:dyDescent="0.2">
      <c r="A184" s="4" t="s">
        <v>749</v>
      </c>
      <c r="B184" s="4" t="s">
        <v>750</v>
      </c>
      <c r="C184" s="4" t="s">
        <v>40</v>
      </c>
      <c r="D184" s="4" t="s">
        <v>40</v>
      </c>
      <c r="E184" s="4" t="s">
        <v>40</v>
      </c>
      <c r="F184" t="s">
        <v>40</v>
      </c>
      <c r="G184" t="s">
        <v>749</v>
      </c>
      <c r="H184" t="s">
        <v>40</v>
      </c>
      <c r="I184" t="s">
        <v>40</v>
      </c>
      <c r="J184" t="s">
        <v>40</v>
      </c>
      <c r="K184" t="s">
        <v>40</v>
      </c>
      <c r="L184" t="s">
        <v>40</v>
      </c>
      <c r="M184">
        <v>4.9000000000000004</v>
      </c>
      <c r="N184">
        <v>200</v>
      </c>
      <c r="O184">
        <v>2</v>
      </c>
      <c r="P184">
        <v>30</v>
      </c>
      <c r="Q184" t="s">
        <v>77</v>
      </c>
      <c r="R184" t="b">
        <v>0</v>
      </c>
      <c r="S184" t="s">
        <v>40</v>
      </c>
      <c r="T184">
        <v>44953</v>
      </c>
      <c r="U184" t="s">
        <v>229</v>
      </c>
      <c r="V184" s="2">
        <v>44959.439432870597</v>
      </c>
      <c r="W184" t="s">
        <v>40</v>
      </c>
      <c r="X184">
        <v>0</v>
      </c>
      <c r="Y184" t="s">
        <v>40</v>
      </c>
      <c r="Z184" t="s">
        <v>40</v>
      </c>
      <c r="AA184" t="s">
        <v>40</v>
      </c>
      <c r="AB184">
        <v>1</v>
      </c>
      <c r="AC184" t="s">
        <v>49</v>
      </c>
      <c r="AD184" t="s">
        <v>40</v>
      </c>
      <c r="AE184" t="s">
        <v>40</v>
      </c>
      <c r="AF184" t="s">
        <v>40</v>
      </c>
      <c r="AG184" t="s">
        <v>40</v>
      </c>
      <c r="AH184" t="s">
        <v>40</v>
      </c>
      <c r="AI184" t="s">
        <v>40</v>
      </c>
      <c r="AJ184" t="s">
        <v>40</v>
      </c>
      <c r="AK184" t="s">
        <v>40</v>
      </c>
      <c r="AL184" t="s">
        <v>40</v>
      </c>
      <c r="AM184" t="s">
        <v>40</v>
      </c>
    </row>
    <row r="185" spans="1:39" x14ac:dyDescent="0.2">
      <c r="A185" s="4" t="s">
        <v>751</v>
      </c>
      <c r="B185" s="4" t="s">
        <v>1615</v>
      </c>
      <c r="C185" s="4" t="s">
        <v>40</v>
      </c>
      <c r="D185" s="4" t="s">
        <v>51</v>
      </c>
      <c r="E185" s="4" t="s">
        <v>51</v>
      </c>
      <c r="F185" t="s">
        <v>40</v>
      </c>
      <c r="G185" t="s">
        <v>752</v>
      </c>
      <c r="H185" t="s">
        <v>753</v>
      </c>
      <c r="I185" t="s">
        <v>40</v>
      </c>
      <c r="J185" t="s">
        <v>40</v>
      </c>
      <c r="K185" t="s">
        <v>40</v>
      </c>
      <c r="L185" t="s">
        <v>40</v>
      </c>
      <c r="M185">
        <v>3121.3700000000003</v>
      </c>
      <c r="N185">
        <v>2000</v>
      </c>
      <c r="O185">
        <v>2</v>
      </c>
      <c r="P185">
        <v>30</v>
      </c>
      <c r="Q185" t="s">
        <v>77</v>
      </c>
      <c r="R185" t="b">
        <v>0</v>
      </c>
      <c r="S185" t="s">
        <v>40</v>
      </c>
      <c r="T185">
        <v>45316</v>
      </c>
      <c r="U185" t="s">
        <v>229</v>
      </c>
      <c r="V185" s="2">
        <v>44959.44744212972</v>
      </c>
      <c r="W185" t="s">
        <v>40</v>
      </c>
      <c r="X185">
        <v>0</v>
      </c>
      <c r="Y185" t="s">
        <v>40</v>
      </c>
      <c r="Z185" t="s">
        <v>40</v>
      </c>
      <c r="AA185" t="s">
        <v>40</v>
      </c>
      <c r="AB185">
        <v>2</v>
      </c>
      <c r="AC185" t="s">
        <v>49</v>
      </c>
      <c r="AD185" t="s">
        <v>40</v>
      </c>
      <c r="AE185" t="s">
        <v>40</v>
      </c>
      <c r="AF185" t="s">
        <v>40</v>
      </c>
      <c r="AG185" t="s">
        <v>40</v>
      </c>
      <c r="AH185" t="s">
        <v>40</v>
      </c>
      <c r="AI185" t="s">
        <v>40</v>
      </c>
      <c r="AJ185" t="s">
        <v>46</v>
      </c>
      <c r="AK185" t="s">
        <v>419</v>
      </c>
      <c r="AL185" t="s">
        <v>420</v>
      </c>
      <c r="AM185" t="s">
        <v>421</v>
      </c>
    </row>
    <row r="186" spans="1:39" x14ac:dyDescent="0.2">
      <c r="A186" s="4" t="s">
        <v>754</v>
      </c>
      <c r="B186" s="4" t="s">
        <v>755</v>
      </c>
      <c r="C186" s="4" t="s">
        <v>40</v>
      </c>
      <c r="D186" s="4" t="s">
        <v>40</v>
      </c>
      <c r="E186" s="4" t="s">
        <v>40</v>
      </c>
      <c r="F186" t="s">
        <v>40</v>
      </c>
      <c r="G186" t="s">
        <v>754</v>
      </c>
      <c r="H186" t="s">
        <v>40</v>
      </c>
      <c r="I186" t="s">
        <v>40</v>
      </c>
      <c r="J186" t="s">
        <v>40</v>
      </c>
      <c r="K186" t="s">
        <v>40</v>
      </c>
      <c r="L186" t="s">
        <v>40</v>
      </c>
      <c r="M186">
        <v>4.9000000000000004</v>
      </c>
      <c r="N186">
        <v>200</v>
      </c>
      <c r="O186">
        <v>2</v>
      </c>
      <c r="P186">
        <v>30</v>
      </c>
      <c r="Q186" t="s">
        <v>77</v>
      </c>
      <c r="R186" t="b">
        <v>0</v>
      </c>
      <c r="S186" t="s">
        <v>40</v>
      </c>
      <c r="T186" s="1" t="s">
        <v>49</v>
      </c>
      <c r="U186" t="s">
        <v>229</v>
      </c>
      <c r="V186" s="2">
        <v>44959.448078691959</v>
      </c>
      <c r="W186" t="s">
        <v>40</v>
      </c>
      <c r="X186">
        <v>0</v>
      </c>
      <c r="Y186" t="s">
        <v>40</v>
      </c>
      <c r="Z186" t="s">
        <v>40</v>
      </c>
      <c r="AA186" t="s">
        <v>40</v>
      </c>
      <c r="AB186">
        <v>0</v>
      </c>
      <c r="AC186" t="s">
        <v>49</v>
      </c>
      <c r="AD186" t="s">
        <v>40</v>
      </c>
      <c r="AE186" t="s">
        <v>40</v>
      </c>
      <c r="AF186" t="s">
        <v>40</v>
      </c>
      <c r="AG186" t="s">
        <v>40</v>
      </c>
      <c r="AH186" t="s">
        <v>40</v>
      </c>
      <c r="AI186" t="s">
        <v>40</v>
      </c>
      <c r="AJ186" t="s">
        <v>40</v>
      </c>
      <c r="AK186" t="s">
        <v>40</v>
      </c>
      <c r="AL186" t="s">
        <v>40</v>
      </c>
      <c r="AM186" t="s">
        <v>40</v>
      </c>
    </row>
    <row r="187" spans="1:39" x14ac:dyDescent="0.2">
      <c r="A187" s="4" t="s">
        <v>756</v>
      </c>
      <c r="B187" s="4" t="s">
        <v>757</v>
      </c>
      <c r="C187" s="4" t="s">
        <v>40</v>
      </c>
      <c r="D187" s="4" t="s">
        <v>40</v>
      </c>
      <c r="E187" s="4" t="s">
        <v>40</v>
      </c>
      <c r="F187" t="s">
        <v>40</v>
      </c>
      <c r="G187" t="s">
        <v>756</v>
      </c>
      <c r="H187" t="s">
        <v>40</v>
      </c>
      <c r="I187" t="s">
        <v>40</v>
      </c>
      <c r="J187" t="s">
        <v>40</v>
      </c>
      <c r="K187" t="s">
        <v>40</v>
      </c>
      <c r="L187" t="s">
        <v>40</v>
      </c>
      <c r="M187">
        <v>9.4</v>
      </c>
      <c r="N187">
        <v>200</v>
      </c>
      <c r="O187">
        <v>2</v>
      </c>
      <c r="P187">
        <v>30</v>
      </c>
      <c r="Q187" t="s">
        <v>77</v>
      </c>
      <c r="R187" t="b">
        <v>0</v>
      </c>
      <c r="S187" t="s">
        <v>40</v>
      </c>
      <c r="T187">
        <v>45101</v>
      </c>
      <c r="U187" t="s">
        <v>229</v>
      </c>
      <c r="V187" s="2">
        <v>44959.453831006773</v>
      </c>
      <c r="W187" t="s">
        <v>40</v>
      </c>
      <c r="X187">
        <v>0</v>
      </c>
      <c r="Y187" t="s">
        <v>40</v>
      </c>
      <c r="Z187" t="s">
        <v>40</v>
      </c>
      <c r="AA187" t="s">
        <v>40</v>
      </c>
      <c r="AB187">
        <v>0</v>
      </c>
      <c r="AC187" t="s">
        <v>49</v>
      </c>
      <c r="AD187" t="s">
        <v>40</v>
      </c>
      <c r="AE187" t="s">
        <v>40</v>
      </c>
      <c r="AF187" t="s">
        <v>40</v>
      </c>
      <c r="AG187" t="s">
        <v>40</v>
      </c>
      <c r="AH187" t="s">
        <v>40</v>
      </c>
      <c r="AI187" t="s">
        <v>40</v>
      </c>
      <c r="AJ187" t="s">
        <v>40</v>
      </c>
      <c r="AK187" t="s">
        <v>40</v>
      </c>
      <c r="AL187" t="s">
        <v>40</v>
      </c>
      <c r="AM187" t="s">
        <v>40</v>
      </c>
    </row>
    <row r="188" spans="1:39" x14ac:dyDescent="0.2">
      <c r="A188" s="4" t="s">
        <v>758</v>
      </c>
      <c r="B188" s="4" t="s">
        <v>759</v>
      </c>
      <c r="C188" s="4" t="s">
        <v>40</v>
      </c>
      <c r="D188" s="4" t="s">
        <v>40</v>
      </c>
      <c r="E188" s="4" t="s">
        <v>40</v>
      </c>
      <c r="F188" t="s">
        <v>40</v>
      </c>
      <c r="G188" t="s">
        <v>758</v>
      </c>
      <c r="H188" t="s">
        <v>40</v>
      </c>
      <c r="I188" t="s">
        <v>40</v>
      </c>
      <c r="J188" t="s">
        <v>40</v>
      </c>
      <c r="K188" t="s">
        <v>40</v>
      </c>
      <c r="L188" t="s">
        <v>40</v>
      </c>
      <c r="M188">
        <v>24.3</v>
      </c>
      <c r="N188">
        <v>200</v>
      </c>
      <c r="O188">
        <v>2</v>
      </c>
      <c r="P188">
        <v>30</v>
      </c>
      <c r="Q188" t="s">
        <v>77</v>
      </c>
      <c r="R188" t="b">
        <v>0</v>
      </c>
      <c r="S188" t="s">
        <v>40</v>
      </c>
      <c r="T188" s="1">
        <v>44991</v>
      </c>
      <c r="U188" t="s">
        <v>229</v>
      </c>
      <c r="V188" s="2">
        <v>44959.45771990763</v>
      </c>
      <c r="W188" t="s">
        <v>40</v>
      </c>
      <c r="X188">
        <v>0</v>
      </c>
      <c r="Y188" t="s">
        <v>40</v>
      </c>
      <c r="Z188" t="s">
        <v>40</v>
      </c>
      <c r="AA188" t="s">
        <v>40</v>
      </c>
      <c r="AB188">
        <v>0</v>
      </c>
      <c r="AC188" t="s">
        <v>49</v>
      </c>
      <c r="AD188" t="s">
        <v>40</v>
      </c>
      <c r="AE188" t="s">
        <v>40</v>
      </c>
      <c r="AF188" t="s">
        <v>40</v>
      </c>
      <c r="AG188" t="s">
        <v>40</v>
      </c>
      <c r="AH188" t="s">
        <v>40</v>
      </c>
      <c r="AI188" t="s">
        <v>40</v>
      </c>
      <c r="AJ188" t="s">
        <v>40</v>
      </c>
      <c r="AK188" t="s">
        <v>40</v>
      </c>
      <c r="AL188" t="s">
        <v>40</v>
      </c>
      <c r="AM188" t="s">
        <v>40</v>
      </c>
    </row>
    <row r="189" spans="1:39" x14ac:dyDescent="0.2">
      <c r="A189" s="4" t="s">
        <v>760</v>
      </c>
      <c r="B189" s="4" t="s">
        <v>761</v>
      </c>
      <c r="C189" s="4" t="s">
        <v>40</v>
      </c>
      <c r="D189" s="4" t="s">
        <v>40</v>
      </c>
      <c r="E189" s="4" t="s">
        <v>40</v>
      </c>
      <c r="F189" t="s">
        <v>40</v>
      </c>
      <c r="G189" t="s">
        <v>760</v>
      </c>
      <c r="H189" t="s">
        <v>40</v>
      </c>
      <c r="I189" t="s">
        <v>40</v>
      </c>
      <c r="J189" t="s">
        <v>40</v>
      </c>
      <c r="K189" t="s">
        <v>40</v>
      </c>
      <c r="L189" t="s">
        <v>40</v>
      </c>
      <c r="M189">
        <v>16.400000000000002</v>
      </c>
      <c r="N189">
        <v>200</v>
      </c>
      <c r="O189">
        <v>2</v>
      </c>
      <c r="P189">
        <v>30</v>
      </c>
      <c r="Q189" t="s">
        <v>77</v>
      </c>
      <c r="R189" t="b">
        <v>0</v>
      </c>
      <c r="S189" t="s">
        <v>40</v>
      </c>
      <c r="T189" s="1">
        <v>45239</v>
      </c>
      <c r="U189" t="s">
        <v>229</v>
      </c>
      <c r="V189" s="2">
        <v>44959.464537037071</v>
      </c>
      <c r="W189" t="s">
        <v>40</v>
      </c>
      <c r="X189">
        <v>0</v>
      </c>
      <c r="Y189" t="s">
        <v>40</v>
      </c>
      <c r="Z189" t="s">
        <v>40</v>
      </c>
      <c r="AA189" t="s">
        <v>40</v>
      </c>
      <c r="AB189">
        <v>0</v>
      </c>
      <c r="AC189" t="s">
        <v>49</v>
      </c>
      <c r="AD189" t="s">
        <v>40</v>
      </c>
      <c r="AE189" t="s">
        <v>40</v>
      </c>
      <c r="AF189" t="s">
        <v>40</v>
      </c>
      <c r="AG189" t="s">
        <v>40</v>
      </c>
      <c r="AH189" t="s">
        <v>40</v>
      </c>
      <c r="AI189" t="s">
        <v>40</v>
      </c>
      <c r="AJ189" t="s">
        <v>40</v>
      </c>
      <c r="AK189" t="s">
        <v>40</v>
      </c>
      <c r="AL189" t="s">
        <v>40</v>
      </c>
      <c r="AM189" t="s">
        <v>40</v>
      </c>
    </row>
    <row r="190" spans="1:39" x14ac:dyDescent="0.2">
      <c r="A190" s="4" t="s">
        <v>762</v>
      </c>
      <c r="B190" s="4" t="s">
        <v>763</v>
      </c>
      <c r="C190" s="4" t="s">
        <v>40</v>
      </c>
      <c r="D190" s="4" t="s">
        <v>40</v>
      </c>
      <c r="E190" s="4" t="s">
        <v>40</v>
      </c>
      <c r="F190" t="s">
        <v>40</v>
      </c>
      <c r="G190" t="s">
        <v>764</v>
      </c>
      <c r="H190" t="s">
        <v>765</v>
      </c>
      <c r="I190" t="s">
        <v>40</v>
      </c>
      <c r="J190" t="s">
        <v>40</v>
      </c>
      <c r="K190" t="s">
        <v>40</v>
      </c>
      <c r="L190" t="s">
        <v>40</v>
      </c>
      <c r="M190">
        <v>0</v>
      </c>
      <c r="N190">
        <v>200</v>
      </c>
      <c r="O190">
        <v>2</v>
      </c>
      <c r="P190">
        <v>30</v>
      </c>
      <c r="Q190" t="s">
        <v>77</v>
      </c>
      <c r="R190" t="b">
        <v>0</v>
      </c>
      <c r="S190" t="s">
        <v>40</v>
      </c>
      <c r="T190">
        <v>44956</v>
      </c>
      <c r="U190" t="s">
        <v>229</v>
      </c>
      <c r="V190" s="2">
        <v>44959.474664351903</v>
      </c>
      <c r="W190" t="s">
        <v>40</v>
      </c>
      <c r="X190">
        <v>0</v>
      </c>
      <c r="Y190" t="s">
        <v>40</v>
      </c>
      <c r="Z190" t="s">
        <v>40</v>
      </c>
      <c r="AA190" t="s">
        <v>40</v>
      </c>
      <c r="AB190">
        <v>0</v>
      </c>
      <c r="AC190" t="s">
        <v>49</v>
      </c>
      <c r="AD190" t="s">
        <v>40</v>
      </c>
      <c r="AE190" t="s">
        <v>40</v>
      </c>
      <c r="AF190" t="s">
        <v>40</v>
      </c>
      <c r="AG190" t="s">
        <v>40</v>
      </c>
      <c r="AH190" t="s">
        <v>40</v>
      </c>
      <c r="AI190" t="s">
        <v>40</v>
      </c>
      <c r="AJ190" t="s">
        <v>40</v>
      </c>
      <c r="AK190" t="s">
        <v>40</v>
      </c>
      <c r="AL190" t="s">
        <v>40</v>
      </c>
      <c r="AM190" t="s">
        <v>40</v>
      </c>
    </row>
    <row r="191" spans="1:39" x14ac:dyDescent="0.2">
      <c r="A191" s="4" t="s">
        <v>766</v>
      </c>
      <c r="B191" s="4" t="s">
        <v>767</v>
      </c>
      <c r="C191" s="4" t="s">
        <v>40</v>
      </c>
      <c r="D191" s="4" t="s">
        <v>40</v>
      </c>
      <c r="E191" s="4" t="s">
        <v>40</v>
      </c>
      <c r="F191" t="s">
        <v>40</v>
      </c>
      <c r="G191" t="s">
        <v>766</v>
      </c>
      <c r="H191" t="s">
        <v>40</v>
      </c>
      <c r="I191" t="s">
        <v>40</v>
      </c>
      <c r="J191" t="s">
        <v>40</v>
      </c>
      <c r="K191" t="s">
        <v>40</v>
      </c>
      <c r="L191" t="s">
        <v>40</v>
      </c>
      <c r="M191">
        <v>14.3</v>
      </c>
      <c r="N191">
        <v>200</v>
      </c>
      <c r="O191">
        <v>2</v>
      </c>
      <c r="P191">
        <v>30</v>
      </c>
      <c r="Q191" t="s">
        <v>77</v>
      </c>
      <c r="R191" t="b">
        <v>0</v>
      </c>
      <c r="S191" t="s">
        <v>40</v>
      </c>
      <c r="T191" t="s">
        <v>49</v>
      </c>
      <c r="U191" t="s">
        <v>229</v>
      </c>
      <c r="V191" s="2">
        <v>44959.477916666772</v>
      </c>
      <c r="W191" t="s">
        <v>40</v>
      </c>
      <c r="X191">
        <v>0</v>
      </c>
      <c r="Y191" t="s">
        <v>40</v>
      </c>
      <c r="Z191" t="s">
        <v>40</v>
      </c>
      <c r="AA191" t="s">
        <v>40</v>
      </c>
      <c r="AB191">
        <v>0</v>
      </c>
      <c r="AC191" t="s">
        <v>49</v>
      </c>
      <c r="AD191" t="s">
        <v>40</v>
      </c>
      <c r="AE191" t="s">
        <v>40</v>
      </c>
      <c r="AF191" t="s">
        <v>40</v>
      </c>
      <c r="AG191" t="s">
        <v>40</v>
      </c>
      <c r="AH191" t="s">
        <v>40</v>
      </c>
      <c r="AI191" t="s">
        <v>40</v>
      </c>
      <c r="AJ191" t="s">
        <v>40</v>
      </c>
      <c r="AK191" t="s">
        <v>40</v>
      </c>
      <c r="AL191" t="s">
        <v>40</v>
      </c>
      <c r="AM191" t="s">
        <v>40</v>
      </c>
    </row>
    <row r="192" spans="1:39" x14ac:dyDescent="0.2">
      <c r="A192" s="4" t="s">
        <v>768</v>
      </c>
      <c r="B192" s="4" t="s">
        <v>769</v>
      </c>
      <c r="C192" s="4" t="s">
        <v>40</v>
      </c>
      <c r="D192" s="4" t="s">
        <v>40</v>
      </c>
      <c r="E192" s="4" t="s">
        <v>40</v>
      </c>
      <c r="F192" t="s">
        <v>40</v>
      </c>
      <c r="G192" t="s">
        <v>768</v>
      </c>
      <c r="H192" t="s">
        <v>40</v>
      </c>
      <c r="I192" t="s">
        <v>40</v>
      </c>
      <c r="J192" t="s">
        <v>40</v>
      </c>
      <c r="K192" t="s">
        <v>40</v>
      </c>
      <c r="L192" t="s">
        <v>40</v>
      </c>
      <c r="M192">
        <v>36.75</v>
      </c>
      <c r="N192">
        <v>200</v>
      </c>
      <c r="O192">
        <v>2</v>
      </c>
      <c r="P192">
        <v>30</v>
      </c>
      <c r="Q192" t="s">
        <v>77</v>
      </c>
      <c r="R192" t="b">
        <v>0</v>
      </c>
      <c r="S192" t="s">
        <v>40</v>
      </c>
      <c r="T192" s="1">
        <v>45308</v>
      </c>
      <c r="U192" t="s">
        <v>229</v>
      </c>
      <c r="V192" s="2">
        <v>44959.479548611213</v>
      </c>
      <c r="W192" t="s">
        <v>40</v>
      </c>
      <c r="X192">
        <v>0</v>
      </c>
      <c r="Y192" t="s">
        <v>40</v>
      </c>
      <c r="Z192" t="s">
        <v>40</v>
      </c>
      <c r="AA192" t="s">
        <v>40</v>
      </c>
      <c r="AB192">
        <v>0</v>
      </c>
      <c r="AC192" t="s">
        <v>49</v>
      </c>
      <c r="AD192" t="s">
        <v>40</v>
      </c>
      <c r="AE192" t="s">
        <v>40</v>
      </c>
      <c r="AF192" t="s">
        <v>40</v>
      </c>
      <c r="AG192" t="s">
        <v>40</v>
      </c>
      <c r="AH192" t="s">
        <v>40</v>
      </c>
      <c r="AI192" t="s">
        <v>40</v>
      </c>
      <c r="AJ192" t="s">
        <v>40</v>
      </c>
      <c r="AK192" t="s">
        <v>40</v>
      </c>
      <c r="AL192" t="s">
        <v>40</v>
      </c>
      <c r="AM192" t="s">
        <v>40</v>
      </c>
    </row>
    <row r="193" spans="1:39" x14ac:dyDescent="0.2">
      <c r="A193" s="4" t="s">
        <v>770</v>
      </c>
      <c r="B193" s="4" t="s">
        <v>771</v>
      </c>
      <c r="C193" s="4" t="s">
        <v>40</v>
      </c>
      <c r="D193" s="4" t="s">
        <v>40</v>
      </c>
      <c r="E193" s="4" t="s">
        <v>40</v>
      </c>
      <c r="F193" t="s">
        <v>40</v>
      </c>
      <c r="G193" t="s">
        <v>770</v>
      </c>
      <c r="H193" t="s">
        <v>40</v>
      </c>
      <c r="I193" t="s">
        <v>40</v>
      </c>
      <c r="J193" t="s">
        <v>40</v>
      </c>
      <c r="K193" t="s">
        <v>40</v>
      </c>
      <c r="L193" t="s">
        <v>40</v>
      </c>
      <c r="M193">
        <v>9.4</v>
      </c>
      <c r="N193">
        <v>200</v>
      </c>
      <c r="O193">
        <v>2</v>
      </c>
      <c r="P193">
        <v>30</v>
      </c>
      <c r="Q193" t="s">
        <v>77</v>
      </c>
      <c r="R193" t="b">
        <v>0</v>
      </c>
      <c r="S193" t="s">
        <v>40</v>
      </c>
      <c r="T193" s="1" t="s">
        <v>49</v>
      </c>
      <c r="U193" t="s">
        <v>229</v>
      </c>
      <c r="V193" s="2">
        <v>44959.486412037164</v>
      </c>
      <c r="W193" t="s">
        <v>40</v>
      </c>
      <c r="X193">
        <v>0</v>
      </c>
      <c r="Y193" t="s">
        <v>40</v>
      </c>
      <c r="Z193" t="s">
        <v>40</v>
      </c>
      <c r="AA193" t="s">
        <v>40</v>
      </c>
      <c r="AB193">
        <v>0</v>
      </c>
      <c r="AC193" t="s">
        <v>49</v>
      </c>
      <c r="AD193" t="s">
        <v>40</v>
      </c>
      <c r="AE193" t="s">
        <v>40</v>
      </c>
      <c r="AF193" t="s">
        <v>40</v>
      </c>
      <c r="AG193" t="s">
        <v>40</v>
      </c>
      <c r="AH193" t="s">
        <v>40</v>
      </c>
      <c r="AI193" t="s">
        <v>40</v>
      </c>
      <c r="AJ193" t="s">
        <v>40</v>
      </c>
      <c r="AK193" t="s">
        <v>40</v>
      </c>
      <c r="AL193" t="s">
        <v>40</v>
      </c>
      <c r="AM193" t="s">
        <v>40</v>
      </c>
    </row>
    <row r="194" spans="1:39" x14ac:dyDescent="0.2">
      <c r="A194" s="4" t="s">
        <v>772</v>
      </c>
      <c r="B194" s="4" t="s">
        <v>773</v>
      </c>
      <c r="C194" s="4" t="s">
        <v>40</v>
      </c>
      <c r="D194" s="4" t="s">
        <v>40</v>
      </c>
      <c r="E194" s="4" t="s">
        <v>40</v>
      </c>
      <c r="F194" t="s">
        <v>40</v>
      </c>
      <c r="G194" t="s">
        <v>774</v>
      </c>
      <c r="H194" t="s">
        <v>775</v>
      </c>
      <c r="I194" t="s">
        <v>40</v>
      </c>
      <c r="J194" t="s">
        <v>40</v>
      </c>
      <c r="K194" t="s">
        <v>40</v>
      </c>
      <c r="L194" t="s">
        <v>40</v>
      </c>
      <c r="M194">
        <v>14.100000000000001</v>
      </c>
      <c r="N194">
        <v>200</v>
      </c>
      <c r="O194">
        <v>1</v>
      </c>
      <c r="P194">
        <v>0</v>
      </c>
      <c r="Q194" t="s">
        <v>77</v>
      </c>
      <c r="R194" t="b">
        <v>0</v>
      </c>
      <c r="S194" t="s">
        <v>40</v>
      </c>
      <c r="T194" s="1">
        <v>44957</v>
      </c>
      <c r="U194" t="s">
        <v>229</v>
      </c>
      <c r="V194" s="2">
        <v>44959.492974525318</v>
      </c>
      <c r="W194" t="s">
        <v>40</v>
      </c>
      <c r="X194">
        <v>0</v>
      </c>
      <c r="Y194" t="s">
        <v>40</v>
      </c>
      <c r="Z194" t="s">
        <v>40</v>
      </c>
      <c r="AA194" t="s">
        <v>40</v>
      </c>
      <c r="AB194">
        <v>0</v>
      </c>
      <c r="AC194" t="s">
        <v>49</v>
      </c>
      <c r="AD194" t="s">
        <v>40</v>
      </c>
      <c r="AE194" t="s">
        <v>40</v>
      </c>
      <c r="AF194" t="s">
        <v>40</v>
      </c>
      <c r="AG194" t="s">
        <v>40</v>
      </c>
      <c r="AH194" t="s">
        <v>40</v>
      </c>
      <c r="AI194" t="s">
        <v>40</v>
      </c>
      <c r="AJ194" t="s">
        <v>40</v>
      </c>
      <c r="AK194" t="s">
        <v>40</v>
      </c>
      <c r="AL194" t="s">
        <v>40</v>
      </c>
      <c r="AM194" t="s">
        <v>40</v>
      </c>
    </row>
    <row r="195" spans="1:39" x14ac:dyDescent="0.2">
      <c r="A195" s="4" t="s">
        <v>776</v>
      </c>
      <c r="B195" s="4" t="s">
        <v>777</v>
      </c>
      <c r="C195" s="4" t="s">
        <v>40</v>
      </c>
      <c r="D195" s="4" t="s">
        <v>40</v>
      </c>
      <c r="E195" s="4" t="s">
        <v>40</v>
      </c>
      <c r="F195" t="s">
        <v>40</v>
      </c>
      <c r="G195" t="s">
        <v>776</v>
      </c>
      <c r="H195" t="s">
        <v>40</v>
      </c>
      <c r="I195" t="s">
        <v>40</v>
      </c>
      <c r="J195" t="s">
        <v>40</v>
      </c>
      <c r="K195" t="s">
        <v>40</v>
      </c>
      <c r="L195" t="s">
        <v>40</v>
      </c>
      <c r="M195">
        <v>12.9</v>
      </c>
      <c r="N195">
        <v>200</v>
      </c>
      <c r="O195">
        <v>2</v>
      </c>
      <c r="P195">
        <v>30</v>
      </c>
      <c r="Q195" t="s">
        <v>77</v>
      </c>
      <c r="R195" t="b">
        <v>0</v>
      </c>
      <c r="S195" t="s">
        <v>40</v>
      </c>
      <c r="T195" s="1">
        <v>45239</v>
      </c>
      <c r="U195" t="s">
        <v>229</v>
      </c>
      <c r="V195" s="2">
        <v>44959.496053229086</v>
      </c>
      <c r="W195" t="s">
        <v>40</v>
      </c>
      <c r="X195">
        <v>0</v>
      </c>
      <c r="Y195" t="s">
        <v>40</v>
      </c>
      <c r="Z195" t="s">
        <v>40</v>
      </c>
      <c r="AA195" t="s">
        <v>40</v>
      </c>
      <c r="AB195">
        <v>0</v>
      </c>
      <c r="AC195" t="s">
        <v>49</v>
      </c>
      <c r="AD195" t="s">
        <v>40</v>
      </c>
      <c r="AE195" t="s">
        <v>40</v>
      </c>
      <c r="AF195" t="s">
        <v>40</v>
      </c>
      <c r="AG195" t="s">
        <v>40</v>
      </c>
      <c r="AH195" t="s">
        <v>40</v>
      </c>
      <c r="AI195" t="s">
        <v>40</v>
      </c>
      <c r="AJ195" t="s">
        <v>40</v>
      </c>
      <c r="AK195" t="s">
        <v>40</v>
      </c>
      <c r="AL195" t="s">
        <v>40</v>
      </c>
      <c r="AM195" t="s">
        <v>40</v>
      </c>
    </row>
    <row r="196" spans="1:39" x14ac:dyDescent="0.2">
      <c r="A196" s="4" t="s">
        <v>778</v>
      </c>
      <c r="B196" s="4" t="s">
        <v>1616</v>
      </c>
      <c r="C196" s="4" t="s">
        <v>40</v>
      </c>
      <c r="D196" s="4" t="s">
        <v>40</v>
      </c>
      <c r="E196" s="4" t="s">
        <v>40</v>
      </c>
      <c r="F196" t="s">
        <v>40</v>
      </c>
      <c r="G196" t="s">
        <v>779</v>
      </c>
      <c r="H196" t="s">
        <v>780</v>
      </c>
      <c r="I196" t="s">
        <v>40</v>
      </c>
      <c r="J196" t="s">
        <v>40</v>
      </c>
      <c r="K196" t="s">
        <v>40</v>
      </c>
      <c r="L196" t="s">
        <v>40</v>
      </c>
      <c r="M196">
        <v>9.8000000000000007</v>
      </c>
      <c r="N196">
        <v>200</v>
      </c>
      <c r="O196">
        <v>2</v>
      </c>
      <c r="P196">
        <v>30</v>
      </c>
      <c r="Q196" t="s">
        <v>77</v>
      </c>
      <c r="R196" t="b">
        <v>0</v>
      </c>
      <c r="S196" t="s">
        <v>40</v>
      </c>
      <c r="T196">
        <v>44957</v>
      </c>
      <c r="U196" t="s">
        <v>229</v>
      </c>
      <c r="V196" s="2">
        <v>44959.49920138903</v>
      </c>
      <c r="W196" t="s">
        <v>40</v>
      </c>
      <c r="X196">
        <v>0</v>
      </c>
      <c r="Y196" t="s">
        <v>40</v>
      </c>
      <c r="Z196" t="s">
        <v>40</v>
      </c>
      <c r="AA196" t="s">
        <v>40</v>
      </c>
      <c r="AB196">
        <v>0</v>
      </c>
      <c r="AC196" t="s">
        <v>49</v>
      </c>
      <c r="AD196" t="s">
        <v>40</v>
      </c>
      <c r="AE196" t="s">
        <v>40</v>
      </c>
      <c r="AF196" t="s">
        <v>40</v>
      </c>
      <c r="AG196" t="s">
        <v>40</v>
      </c>
      <c r="AH196" t="s">
        <v>40</v>
      </c>
      <c r="AI196" t="s">
        <v>40</v>
      </c>
      <c r="AJ196" t="s">
        <v>40</v>
      </c>
      <c r="AK196" t="s">
        <v>40</v>
      </c>
      <c r="AL196" t="s">
        <v>40</v>
      </c>
      <c r="AM196" t="s">
        <v>40</v>
      </c>
    </row>
    <row r="197" spans="1:39" x14ac:dyDescent="0.2">
      <c r="A197" s="4" t="s">
        <v>781</v>
      </c>
      <c r="B197" s="4" t="s">
        <v>782</v>
      </c>
      <c r="C197" s="4" t="s">
        <v>40</v>
      </c>
      <c r="D197" s="4" t="s">
        <v>40</v>
      </c>
      <c r="E197" s="4" t="s">
        <v>40</v>
      </c>
      <c r="F197" t="s">
        <v>40</v>
      </c>
      <c r="G197" t="s">
        <v>781</v>
      </c>
      <c r="H197" t="s">
        <v>40</v>
      </c>
      <c r="I197" t="s">
        <v>40</v>
      </c>
      <c r="J197" t="s">
        <v>40</v>
      </c>
      <c r="K197" t="s">
        <v>40</v>
      </c>
      <c r="L197" t="s">
        <v>40</v>
      </c>
      <c r="M197">
        <v>7.3500000000000005</v>
      </c>
      <c r="N197">
        <v>200</v>
      </c>
      <c r="O197">
        <v>2</v>
      </c>
      <c r="P197">
        <v>30</v>
      </c>
      <c r="Q197" t="s">
        <v>77</v>
      </c>
      <c r="R197" t="b">
        <v>0</v>
      </c>
      <c r="S197" t="s">
        <v>40</v>
      </c>
      <c r="T197">
        <v>45077</v>
      </c>
      <c r="U197" t="s">
        <v>229</v>
      </c>
      <c r="V197" s="2">
        <v>44963.695092581213</v>
      </c>
      <c r="W197" t="s">
        <v>40</v>
      </c>
      <c r="X197">
        <v>0</v>
      </c>
      <c r="Y197" t="s">
        <v>40</v>
      </c>
      <c r="Z197" t="s">
        <v>40</v>
      </c>
      <c r="AA197" t="s">
        <v>40</v>
      </c>
      <c r="AB197">
        <v>1</v>
      </c>
      <c r="AC197" t="s">
        <v>49</v>
      </c>
      <c r="AD197" t="s">
        <v>40</v>
      </c>
      <c r="AE197" t="s">
        <v>40</v>
      </c>
      <c r="AF197" t="s">
        <v>40</v>
      </c>
      <c r="AG197" t="s">
        <v>40</v>
      </c>
      <c r="AH197" t="s">
        <v>40</v>
      </c>
      <c r="AI197" t="s">
        <v>40</v>
      </c>
      <c r="AJ197" t="s">
        <v>40</v>
      </c>
      <c r="AK197" t="s">
        <v>40</v>
      </c>
      <c r="AL197" t="s">
        <v>40</v>
      </c>
      <c r="AM197" t="s">
        <v>40</v>
      </c>
    </row>
    <row r="198" spans="1:39" x14ac:dyDescent="0.2">
      <c r="A198" s="4" t="s">
        <v>783</v>
      </c>
      <c r="B198" s="4" t="s">
        <v>1617</v>
      </c>
      <c r="C198" s="4" t="s">
        <v>40</v>
      </c>
      <c r="D198" s="4" t="s">
        <v>40</v>
      </c>
      <c r="E198" s="4" t="s">
        <v>40</v>
      </c>
      <c r="F198" t="s">
        <v>40</v>
      </c>
      <c r="G198" t="s">
        <v>784</v>
      </c>
      <c r="H198" t="s">
        <v>785</v>
      </c>
      <c r="I198" t="s">
        <v>40</v>
      </c>
      <c r="J198" t="s">
        <v>40</v>
      </c>
      <c r="K198" t="s">
        <v>40</v>
      </c>
      <c r="L198" t="s">
        <v>40</v>
      </c>
      <c r="M198">
        <v>2.4500000000000002</v>
      </c>
      <c r="N198">
        <v>200</v>
      </c>
      <c r="O198">
        <v>1</v>
      </c>
      <c r="P198">
        <v>0</v>
      </c>
      <c r="Q198" t="s">
        <v>77</v>
      </c>
      <c r="R198" t="b">
        <v>0</v>
      </c>
      <c r="S198" t="s">
        <v>40</v>
      </c>
      <c r="T198">
        <v>44951</v>
      </c>
      <c r="U198" t="s">
        <v>229</v>
      </c>
      <c r="V198" s="2">
        <v>44963.697141191922</v>
      </c>
      <c r="W198" t="s">
        <v>40</v>
      </c>
      <c r="X198">
        <v>0</v>
      </c>
      <c r="Y198" t="s">
        <v>40</v>
      </c>
      <c r="Z198" t="s">
        <v>40</v>
      </c>
      <c r="AA198" t="s">
        <v>40</v>
      </c>
      <c r="AB198">
        <v>2</v>
      </c>
      <c r="AC198" t="s">
        <v>49</v>
      </c>
      <c r="AD198" t="s">
        <v>40</v>
      </c>
      <c r="AE198" t="s">
        <v>40</v>
      </c>
      <c r="AF198" t="s">
        <v>40</v>
      </c>
      <c r="AG198" t="s">
        <v>40</v>
      </c>
      <c r="AH198" t="s">
        <v>40</v>
      </c>
      <c r="AI198" t="s">
        <v>40</v>
      </c>
      <c r="AJ198" t="s">
        <v>40</v>
      </c>
      <c r="AK198" t="s">
        <v>40</v>
      </c>
      <c r="AL198" t="s">
        <v>40</v>
      </c>
      <c r="AM198" t="s">
        <v>40</v>
      </c>
    </row>
    <row r="199" spans="1:39" x14ac:dyDescent="0.2">
      <c r="A199" s="4" t="s">
        <v>786</v>
      </c>
      <c r="B199" s="4" t="s">
        <v>1618</v>
      </c>
      <c r="C199" s="4" t="s">
        <v>40</v>
      </c>
      <c r="D199" s="4" t="s">
        <v>40</v>
      </c>
      <c r="E199" s="4" t="s">
        <v>40</v>
      </c>
      <c r="F199" t="s">
        <v>40</v>
      </c>
      <c r="G199" t="s">
        <v>787</v>
      </c>
      <c r="H199" t="s">
        <v>788</v>
      </c>
      <c r="I199" t="s">
        <v>40</v>
      </c>
      <c r="J199" t="s">
        <v>40</v>
      </c>
      <c r="K199" t="s">
        <v>40</v>
      </c>
      <c r="L199" t="s">
        <v>40</v>
      </c>
      <c r="M199">
        <v>0</v>
      </c>
      <c r="N199">
        <v>200</v>
      </c>
      <c r="O199">
        <v>1</v>
      </c>
      <c r="P199">
        <v>0</v>
      </c>
      <c r="Q199" t="s">
        <v>77</v>
      </c>
      <c r="R199" t="b">
        <v>0</v>
      </c>
      <c r="S199" t="s">
        <v>40</v>
      </c>
      <c r="T199">
        <v>44951</v>
      </c>
      <c r="U199" t="s">
        <v>229</v>
      </c>
      <c r="V199" s="2">
        <v>44963.69873842597</v>
      </c>
      <c r="W199" t="s">
        <v>40</v>
      </c>
      <c r="X199">
        <v>0</v>
      </c>
      <c r="Y199" t="s">
        <v>40</v>
      </c>
      <c r="Z199" t="s">
        <v>40</v>
      </c>
      <c r="AA199" t="s">
        <v>40</v>
      </c>
      <c r="AB199">
        <v>0</v>
      </c>
      <c r="AC199" t="s">
        <v>49</v>
      </c>
      <c r="AD199" t="s">
        <v>40</v>
      </c>
      <c r="AE199" t="s">
        <v>40</v>
      </c>
      <c r="AF199" t="s">
        <v>40</v>
      </c>
      <c r="AG199" t="s">
        <v>40</v>
      </c>
      <c r="AH199" t="s">
        <v>40</v>
      </c>
      <c r="AI199" t="s">
        <v>40</v>
      </c>
      <c r="AJ199" t="s">
        <v>40</v>
      </c>
      <c r="AK199" t="s">
        <v>40</v>
      </c>
      <c r="AL199" t="s">
        <v>40</v>
      </c>
      <c r="AM199" t="s">
        <v>40</v>
      </c>
    </row>
    <row r="200" spans="1:39" x14ac:dyDescent="0.2">
      <c r="A200" s="4" t="s">
        <v>789</v>
      </c>
      <c r="B200" s="4" t="s">
        <v>790</v>
      </c>
      <c r="C200" s="4" t="s">
        <v>40</v>
      </c>
      <c r="D200" s="4" t="s">
        <v>40</v>
      </c>
      <c r="E200" s="4" t="s">
        <v>40</v>
      </c>
      <c r="F200" t="s">
        <v>40</v>
      </c>
      <c r="G200" t="s">
        <v>789</v>
      </c>
      <c r="H200" t="s">
        <v>40</v>
      </c>
      <c r="I200" t="s">
        <v>40</v>
      </c>
      <c r="J200" t="s">
        <v>40</v>
      </c>
      <c r="K200" t="s">
        <v>40</v>
      </c>
      <c r="L200" t="s">
        <v>40</v>
      </c>
      <c r="M200">
        <v>36.75</v>
      </c>
      <c r="N200">
        <v>200</v>
      </c>
      <c r="O200">
        <v>2</v>
      </c>
      <c r="P200">
        <v>30</v>
      </c>
      <c r="Q200" t="s">
        <v>77</v>
      </c>
      <c r="R200" t="b">
        <v>0</v>
      </c>
      <c r="S200" t="s">
        <v>40</v>
      </c>
      <c r="T200">
        <v>45260</v>
      </c>
      <c r="U200" t="s">
        <v>229</v>
      </c>
      <c r="V200" s="2">
        <v>44964.351377314888</v>
      </c>
      <c r="W200" t="s">
        <v>40</v>
      </c>
      <c r="X200">
        <v>0</v>
      </c>
      <c r="Y200" t="s">
        <v>40</v>
      </c>
      <c r="Z200" t="s">
        <v>40</v>
      </c>
      <c r="AA200" t="s">
        <v>40</v>
      </c>
      <c r="AB200">
        <v>1</v>
      </c>
      <c r="AC200" t="s">
        <v>49</v>
      </c>
      <c r="AD200" t="s">
        <v>40</v>
      </c>
      <c r="AE200" t="s">
        <v>40</v>
      </c>
      <c r="AF200" t="s">
        <v>40</v>
      </c>
      <c r="AG200" t="s">
        <v>40</v>
      </c>
      <c r="AH200" t="s">
        <v>40</v>
      </c>
      <c r="AI200" t="s">
        <v>40</v>
      </c>
      <c r="AJ200" t="s">
        <v>40</v>
      </c>
      <c r="AK200" t="s">
        <v>40</v>
      </c>
      <c r="AL200" t="s">
        <v>40</v>
      </c>
      <c r="AM200" t="s">
        <v>40</v>
      </c>
    </row>
    <row r="201" spans="1:39" x14ac:dyDescent="0.2">
      <c r="A201" s="4" t="s">
        <v>791</v>
      </c>
      <c r="B201" s="4" t="s">
        <v>792</v>
      </c>
      <c r="C201" s="4" t="s">
        <v>40</v>
      </c>
      <c r="D201" s="4" t="s">
        <v>40</v>
      </c>
      <c r="E201" s="4" t="s">
        <v>40</v>
      </c>
      <c r="F201" t="s">
        <v>40</v>
      </c>
      <c r="G201" t="s">
        <v>791</v>
      </c>
      <c r="H201" t="s">
        <v>40</v>
      </c>
      <c r="I201" t="s">
        <v>40</v>
      </c>
      <c r="J201" t="s">
        <v>40</v>
      </c>
      <c r="K201" t="s">
        <v>40</v>
      </c>
      <c r="L201" t="s">
        <v>40</v>
      </c>
      <c r="M201">
        <v>9.4</v>
      </c>
      <c r="N201">
        <v>200</v>
      </c>
      <c r="O201">
        <v>1</v>
      </c>
      <c r="P201">
        <v>0</v>
      </c>
      <c r="Q201" t="s">
        <v>77</v>
      </c>
      <c r="R201" t="b">
        <v>0</v>
      </c>
      <c r="S201" t="s">
        <v>40</v>
      </c>
      <c r="T201">
        <v>45180</v>
      </c>
      <c r="U201" t="s">
        <v>229</v>
      </c>
      <c r="V201" s="2">
        <v>44964.376516203862</v>
      </c>
      <c r="W201" t="s">
        <v>40</v>
      </c>
      <c r="X201">
        <v>0</v>
      </c>
      <c r="Y201" t="s">
        <v>40</v>
      </c>
      <c r="Z201" t="s">
        <v>40</v>
      </c>
      <c r="AA201" t="s">
        <v>40</v>
      </c>
      <c r="AB201">
        <v>0</v>
      </c>
      <c r="AC201" t="s">
        <v>49</v>
      </c>
      <c r="AD201" t="s">
        <v>40</v>
      </c>
      <c r="AE201" t="s">
        <v>40</v>
      </c>
      <c r="AF201" t="s">
        <v>40</v>
      </c>
      <c r="AG201" t="s">
        <v>40</v>
      </c>
      <c r="AH201" t="s">
        <v>40</v>
      </c>
      <c r="AI201" t="s">
        <v>40</v>
      </c>
      <c r="AJ201" t="s">
        <v>40</v>
      </c>
      <c r="AK201" t="s">
        <v>40</v>
      </c>
      <c r="AL201" t="s">
        <v>40</v>
      </c>
      <c r="AM201" t="s">
        <v>40</v>
      </c>
    </row>
    <row r="202" spans="1:39" x14ac:dyDescent="0.2">
      <c r="A202" s="4" t="s">
        <v>793</v>
      </c>
      <c r="B202" s="4" t="s">
        <v>1619</v>
      </c>
      <c r="C202" s="4" t="s">
        <v>40</v>
      </c>
      <c r="D202" s="4" t="s">
        <v>40</v>
      </c>
      <c r="E202" s="4" t="s">
        <v>40</v>
      </c>
      <c r="F202" t="s">
        <v>40</v>
      </c>
      <c r="G202" t="s">
        <v>794</v>
      </c>
      <c r="H202" t="s">
        <v>795</v>
      </c>
      <c r="I202" t="s">
        <v>40</v>
      </c>
      <c r="J202" t="s">
        <v>40</v>
      </c>
      <c r="K202" t="s">
        <v>40</v>
      </c>
      <c r="L202" t="s">
        <v>40</v>
      </c>
      <c r="M202">
        <v>0</v>
      </c>
      <c r="N202">
        <v>200</v>
      </c>
      <c r="O202">
        <v>1</v>
      </c>
      <c r="P202">
        <v>0</v>
      </c>
      <c r="Q202" t="s">
        <v>77</v>
      </c>
      <c r="R202" t="b">
        <v>0</v>
      </c>
      <c r="S202" t="s">
        <v>40</v>
      </c>
      <c r="T202">
        <v>44952</v>
      </c>
      <c r="U202" t="s">
        <v>229</v>
      </c>
      <c r="V202" s="2">
        <v>44964.399664340075</v>
      </c>
      <c r="W202" t="s">
        <v>40</v>
      </c>
      <c r="X202">
        <v>0</v>
      </c>
      <c r="Y202" t="s">
        <v>40</v>
      </c>
      <c r="Z202" t="s">
        <v>40</v>
      </c>
      <c r="AA202" t="s">
        <v>40</v>
      </c>
      <c r="AB202">
        <v>0</v>
      </c>
      <c r="AC202" t="s">
        <v>49</v>
      </c>
      <c r="AD202" t="s">
        <v>40</v>
      </c>
      <c r="AE202" t="s">
        <v>40</v>
      </c>
      <c r="AF202" t="s">
        <v>40</v>
      </c>
      <c r="AG202" t="s">
        <v>40</v>
      </c>
      <c r="AH202" t="s">
        <v>40</v>
      </c>
      <c r="AI202" t="s">
        <v>40</v>
      </c>
      <c r="AJ202" t="s">
        <v>40</v>
      </c>
      <c r="AK202" t="s">
        <v>40</v>
      </c>
      <c r="AL202" t="s">
        <v>40</v>
      </c>
      <c r="AM202" t="s">
        <v>40</v>
      </c>
    </row>
    <row r="203" spans="1:39" x14ac:dyDescent="0.2">
      <c r="A203" s="4" t="s">
        <v>796</v>
      </c>
      <c r="B203" s="4" t="s">
        <v>797</v>
      </c>
      <c r="C203" s="4" t="s">
        <v>40</v>
      </c>
      <c r="D203" s="4" t="s">
        <v>51</v>
      </c>
      <c r="E203" s="4" t="s">
        <v>51</v>
      </c>
      <c r="F203" t="s">
        <v>40</v>
      </c>
      <c r="G203" t="s">
        <v>796</v>
      </c>
      <c r="H203" t="s">
        <v>798</v>
      </c>
      <c r="I203" t="s">
        <v>40</v>
      </c>
      <c r="J203" t="s">
        <v>40</v>
      </c>
      <c r="K203" t="s">
        <v>40</v>
      </c>
      <c r="L203" t="s">
        <v>40</v>
      </c>
      <c r="M203">
        <v>145.86000000000001</v>
      </c>
      <c r="N203">
        <v>200</v>
      </c>
      <c r="O203">
        <v>1</v>
      </c>
      <c r="P203">
        <v>0</v>
      </c>
      <c r="Q203" t="s">
        <v>77</v>
      </c>
      <c r="R203" t="b">
        <v>0</v>
      </c>
      <c r="S203" t="s">
        <v>40</v>
      </c>
      <c r="T203">
        <v>45303</v>
      </c>
      <c r="U203" t="s">
        <v>229</v>
      </c>
      <c r="V203" s="2">
        <v>44964.460046296474</v>
      </c>
      <c r="W203" t="s">
        <v>40</v>
      </c>
      <c r="X203">
        <v>0</v>
      </c>
      <c r="Y203" t="s">
        <v>40</v>
      </c>
      <c r="Z203" t="s">
        <v>40</v>
      </c>
      <c r="AA203" t="s">
        <v>40</v>
      </c>
      <c r="AB203">
        <v>0</v>
      </c>
      <c r="AC203" t="s">
        <v>49</v>
      </c>
      <c r="AD203" t="s">
        <v>40</v>
      </c>
      <c r="AE203" t="s">
        <v>40</v>
      </c>
      <c r="AF203" t="s">
        <v>797</v>
      </c>
      <c r="AG203" t="s">
        <v>40</v>
      </c>
      <c r="AH203" t="s">
        <v>799</v>
      </c>
      <c r="AI203" t="s">
        <v>800</v>
      </c>
      <c r="AJ203" t="s">
        <v>46</v>
      </c>
      <c r="AK203" t="s">
        <v>419</v>
      </c>
      <c r="AL203" t="s">
        <v>420</v>
      </c>
      <c r="AM203" t="s">
        <v>421</v>
      </c>
    </row>
    <row r="204" spans="1:39" x14ac:dyDescent="0.2">
      <c r="A204" s="4" t="s">
        <v>801</v>
      </c>
      <c r="B204" s="4" t="s">
        <v>802</v>
      </c>
      <c r="C204" s="4" t="s">
        <v>40</v>
      </c>
      <c r="D204" s="4" t="s">
        <v>40</v>
      </c>
      <c r="E204" s="4" t="s">
        <v>40</v>
      </c>
      <c r="F204" t="s">
        <v>40</v>
      </c>
      <c r="G204" t="s">
        <v>801</v>
      </c>
      <c r="H204" t="s">
        <v>40</v>
      </c>
      <c r="I204" t="s">
        <v>40</v>
      </c>
      <c r="J204" t="s">
        <v>40</v>
      </c>
      <c r="K204" t="s">
        <v>40</v>
      </c>
      <c r="L204" t="s">
        <v>40</v>
      </c>
      <c r="M204">
        <v>53.900000000000006</v>
      </c>
      <c r="N204">
        <v>2000</v>
      </c>
      <c r="O204">
        <v>1</v>
      </c>
      <c r="P204">
        <v>0</v>
      </c>
      <c r="Q204" t="s">
        <v>77</v>
      </c>
      <c r="R204" t="b">
        <v>0</v>
      </c>
      <c r="S204" t="s">
        <v>40</v>
      </c>
      <c r="T204">
        <v>45216</v>
      </c>
      <c r="U204" t="s">
        <v>229</v>
      </c>
      <c r="V204" s="2">
        <v>44980.604201389011</v>
      </c>
      <c r="W204" t="s">
        <v>40</v>
      </c>
      <c r="X204">
        <v>0</v>
      </c>
      <c r="Y204" t="s">
        <v>40</v>
      </c>
      <c r="Z204" t="s">
        <v>40</v>
      </c>
      <c r="AA204" t="s">
        <v>40</v>
      </c>
      <c r="AB204">
        <v>1</v>
      </c>
      <c r="AC204" t="s">
        <v>49</v>
      </c>
      <c r="AD204" t="s">
        <v>40</v>
      </c>
      <c r="AE204" t="s">
        <v>40</v>
      </c>
      <c r="AF204" t="s">
        <v>40</v>
      </c>
      <c r="AG204" t="s">
        <v>40</v>
      </c>
      <c r="AH204" t="s">
        <v>40</v>
      </c>
      <c r="AI204" t="s">
        <v>40</v>
      </c>
      <c r="AJ204" t="s">
        <v>40</v>
      </c>
      <c r="AK204" t="s">
        <v>40</v>
      </c>
      <c r="AL204" t="s">
        <v>40</v>
      </c>
      <c r="AM204" t="s">
        <v>40</v>
      </c>
    </row>
    <row r="205" spans="1:39" x14ac:dyDescent="0.2">
      <c r="A205" s="4" t="s">
        <v>803</v>
      </c>
      <c r="B205" s="4" t="s">
        <v>804</v>
      </c>
      <c r="C205" s="4" t="s">
        <v>40</v>
      </c>
      <c r="D205" s="4" t="s">
        <v>40</v>
      </c>
      <c r="E205" s="4" t="s">
        <v>40</v>
      </c>
      <c r="F205" t="s">
        <v>40</v>
      </c>
      <c r="G205" t="s">
        <v>803</v>
      </c>
      <c r="H205" t="s">
        <v>40</v>
      </c>
      <c r="I205" t="s">
        <v>40</v>
      </c>
      <c r="J205" t="s">
        <v>40</v>
      </c>
      <c r="K205" t="s">
        <v>40</v>
      </c>
      <c r="L205" t="s">
        <v>40</v>
      </c>
      <c r="M205">
        <v>48.800000000000004</v>
      </c>
      <c r="N205">
        <v>500</v>
      </c>
      <c r="O205">
        <v>2</v>
      </c>
      <c r="P205">
        <v>30</v>
      </c>
      <c r="Q205" t="s">
        <v>77</v>
      </c>
      <c r="R205" t="b">
        <v>0</v>
      </c>
      <c r="S205" t="s">
        <v>40</v>
      </c>
      <c r="T205" s="1">
        <v>45194</v>
      </c>
      <c r="U205" t="s">
        <v>229</v>
      </c>
      <c r="V205" s="2">
        <v>44984.628356469795</v>
      </c>
      <c r="W205" t="s">
        <v>40</v>
      </c>
      <c r="X205">
        <v>0</v>
      </c>
      <c r="Y205" t="s">
        <v>40</v>
      </c>
      <c r="Z205" t="s">
        <v>40</v>
      </c>
      <c r="AA205" t="s">
        <v>40</v>
      </c>
      <c r="AB205">
        <v>1</v>
      </c>
      <c r="AC205" t="s">
        <v>49</v>
      </c>
      <c r="AD205" t="s">
        <v>40</v>
      </c>
      <c r="AE205" t="s">
        <v>40</v>
      </c>
      <c r="AF205" t="s">
        <v>40</v>
      </c>
      <c r="AG205" t="s">
        <v>40</v>
      </c>
      <c r="AH205" t="s">
        <v>40</v>
      </c>
      <c r="AI205" t="s">
        <v>40</v>
      </c>
      <c r="AJ205" t="s">
        <v>40</v>
      </c>
      <c r="AK205" t="s">
        <v>40</v>
      </c>
      <c r="AL205" t="s">
        <v>40</v>
      </c>
      <c r="AM205" t="s">
        <v>40</v>
      </c>
    </row>
    <row r="206" spans="1:39" x14ac:dyDescent="0.2">
      <c r="A206" s="4" t="s">
        <v>805</v>
      </c>
      <c r="B206" s="4" t="s">
        <v>806</v>
      </c>
      <c r="C206" s="4" t="s">
        <v>40</v>
      </c>
      <c r="D206" s="4" t="s">
        <v>40</v>
      </c>
      <c r="E206" s="4" t="s">
        <v>40</v>
      </c>
      <c r="F206" t="s">
        <v>40</v>
      </c>
      <c r="G206" t="s">
        <v>805</v>
      </c>
      <c r="H206" t="s">
        <v>40</v>
      </c>
      <c r="I206" t="s">
        <v>40</v>
      </c>
      <c r="J206" t="s">
        <v>40</v>
      </c>
      <c r="K206" t="s">
        <v>40</v>
      </c>
      <c r="L206" t="s">
        <v>40</v>
      </c>
      <c r="M206">
        <v>14.700000000000001</v>
      </c>
      <c r="N206">
        <v>200</v>
      </c>
      <c r="O206">
        <v>2</v>
      </c>
      <c r="P206">
        <v>30</v>
      </c>
      <c r="Q206" t="s">
        <v>77</v>
      </c>
      <c r="R206" t="b">
        <v>0</v>
      </c>
      <c r="S206" t="s">
        <v>40</v>
      </c>
      <c r="T206">
        <v>44991</v>
      </c>
      <c r="U206" t="s">
        <v>229</v>
      </c>
      <c r="V206" s="2">
        <v>44984.629444444552</v>
      </c>
      <c r="W206" t="s">
        <v>40</v>
      </c>
      <c r="X206">
        <v>0</v>
      </c>
      <c r="Y206" t="s">
        <v>40</v>
      </c>
      <c r="Z206" t="s">
        <v>40</v>
      </c>
      <c r="AA206" t="s">
        <v>40</v>
      </c>
      <c r="AB206">
        <v>1</v>
      </c>
      <c r="AC206" t="s">
        <v>49</v>
      </c>
      <c r="AD206" t="s">
        <v>40</v>
      </c>
      <c r="AE206" t="s">
        <v>40</v>
      </c>
      <c r="AF206" t="s">
        <v>40</v>
      </c>
      <c r="AG206" t="s">
        <v>40</v>
      </c>
      <c r="AH206" t="s">
        <v>40</v>
      </c>
      <c r="AI206" t="s">
        <v>40</v>
      </c>
      <c r="AJ206" t="s">
        <v>40</v>
      </c>
      <c r="AK206" t="s">
        <v>40</v>
      </c>
      <c r="AL206" t="s">
        <v>40</v>
      </c>
      <c r="AM206" t="s">
        <v>40</v>
      </c>
    </row>
    <row r="207" spans="1:39" x14ac:dyDescent="0.2">
      <c r="A207" s="4" t="s">
        <v>807</v>
      </c>
      <c r="B207" s="4" t="s">
        <v>808</v>
      </c>
      <c r="C207" s="4" t="s">
        <v>40</v>
      </c>
      <c r="D207" s="4" t="s">
        <v>40</v>
      </c>
      <c r="E207" s="4" t="s">
        <v>40</v>
      </c>
      <c r="F207" t="s">
        <v>40</v>
      </c>
      <c r="G207" t="s">
        <v>807</v>
      </c>
      <c r="H207" t="s">
        <v>40</v>
      </c>
      <c r="I207" t="s">
        <v>40</v>
      </c>
      <c r="J207" t="s">
        <v>40</v>
      </c>
      <c r="K207" t="s">
        <v>40</v>
      </c>
      <c r="L207" t="s">
        <v>40</v>
      </c>
      <c r="M207">
        <v>583.1</v>
      </c>
      <c r="N207">
        <v>500</v>
      </c>
      <c r="O207">
        <v>2</v>
      </c>
      <c r="P207">
        <v>30</v>
      </c>
      <c r="Q207" t="s">
        <v>77</v>
      </c>
      <c r="R207" t="b">
        <v>0</v>
      </c>
      <c r="S207" t="s">
        <v>40</v>
      </c>
      <c r="T207">
        <v>45659</v>
      </c>
      <c r="U207" t="s">
        <v>229</v>
      </c>
      <c r="V207" s="2">
        <v>44984.640868055634</v>
      </c>
      <c r="W207" t="s">
        <v>40</v>
      </c>
      <c r="X207">
        <v>0</v>
      </c>
      <c r="Y207" t="s">
        <v>40</v>
      </c>
      <c r="Z207" t="s">
        <v>40</v>
      </c>
      <c r="AA207" t="s">
        <v>40</v>
      </c>
      <c r="AB207">
        <v>0</v>
      </c>
      <c r="AC207" t="s">
        <v>49</v>
      </c>
      <c r="AD207" t="s">
        <v>40</v>
      </c>
      <c r="AE207" t="s">
        <v>40</v>
      </c>
      <c r="AF207" t="s">
        <v>40</v>
      </c>
      <c r="AG207" t="s">
        <v>40</v>
      </c>
      <c r="AH207" t="s">
        <v>40</v>
      </c>
      <c r="AI207" t="s">
        <v>40</v>
      </c>
      <c r="AJ207" t="s">
        <v>40</v>
      </c>
      <c r="AK207" t="s">
        <v>40</v>
      </c>
      <c r="AL207" t="s">
        <v>40</v>
      </c>
      <c r="AM207" t="s">
        <v>40</v>
      </c>
    </row>
    <row r="208" spans="1:39" x14ac:dyDescent="0.2">
      <c r="A208" s="4" t="s">
        <v>809</v>
      </c>
      <c r="B208" s="4" t="s">
        <v>810</v>
      </c>
      <c r="C208" s="4" t="s">
        <v>40</v>
      </c>
      <c r="D208" s="4" t="s">
        <v>40</v>
      </c>
      <c r="E208" s="4" t="s">
        <v>40</v>
      </c>
      <c r="F208" t="s">
        <v>40</v>
      </c>
      <c r="G208" t="s">
        <v>809</v>
      </c>
      <c r="H208" t="s">
        <v>40</v>
      </c>
      <c r="I208" t="s">
        <v>40</v>
      </c>
      <c r="J208" t="s">
        <v>40</v>
      </c>
      <c r="K208" t="s">
        <v>40</v>
      </c>
      <c r="L208" t="s">
        <v>40</v>
      </c>
      <c r="M208">
        <v>4.9000000000000004</v>
      </c>
      <c r="N208">
        <v>200</v>
      </c>
      <c r="O208">
        <v>2</v>
      </c>
      <c r="P208">
        <v>30</v>
      </c>
      <c r="Q208" t="s">
        <v>77</v>
      </c>
      <c r="R208" t="b">
        <v>0</v>
      </c>
      <c r="S208" t="s">
        <v>40</v>
      </c>
      <c r="T208" t="s">
        <v>49</v>
      </c>
      <c r="U208" t="s">
        <v>229</v>
      </c>
      <c r="V208" s="2">
        <v>44984.682662037201</v>
      </c>
      <c r="W208" t="s">
        <v>40</v>
      </c>
      <c r="X208">
        <v>0</v>
      </c>
      <c r="Y208" t="s">
        <v>40</v>
      </c>
      <c r="Z208" t="s">
        <v>40</v>
      </c>
      <c r="AA208" t="s">
        <v>40</v>
      </c>
      <c r="AB208">
        <v>1</v>
      </c>
      <c r="AC208" t="s">
        <v>49</v>
      </c>
      <c r="AD208" t="s">
        <v>40</v>
      </c>
      <c r="AE208" t="s">
        <v>40</v>
      </c>
      <c r="AF208" t="s">
        <v>40</v>
      </c>
      <c r="AG208" t="s">
        <v>40</v>
      </c>
      <c r="AH208" t="s">
        <v>40</v>
      </c>
      <c r="AI208" t="s">
        <v>40</v>
      </c>
      <c r="AJ208" t="s">
        <v>40</v>
      </c>
      <c r="AK208" t="s">
        <v>40</v>
      </c>
      <c r="AL208" t="s">
        <v>40</v>
      </c>
      <c r="AM208" t="s">
        <v>40</v>
      </c>
    </row>
    <row r="209" spans="1:39" x14ac:dyDescent="0.2">
      <c r="A209" s="4" t="s">
        <v>811</v>
      </c>
      <c r="B209" s="4" t="s">
        <v>812</v>
      </c>
      <c r="C209" s="4" t="s">
        <v>40</v>
      </c>
      <c r="D209" s="4" t="s">
        <v>40</v>
      </c>
      <c r="E209" s="4" t="s">
        <v>40</v>
      </c>
      <c r="F209" t="s">
        <v>40</v>
      </c>
      <c r="G209" t="s">
        <v>811</v>
      </c>
      <c r="H209" t="s">
        <v>40</v>
      </c>
      <c r="I209" t="s">
        <v>40</v>
      </c>
      <c r="J209" t="s">
        <v>40</v>
      </c>
      <c r="K209" t="s">
        <v>40</v>
      </c>
      <c r="L209" t="s">
        <v>40</v>
      </c>
      <c r="M209">
        <v>26.450000000000003</v>
      </c>
      <c r="N209">
        <v>200</v>
      </c>
      <c r="O209">
        <v>2</v>
      </c>
      <c r="P209">
        <v>30</v>
      </c>
      <c r="Q209" t="s">
        <v>77</v>
      </c>
      <c r="R209" t="b">
        <v>0</v>
      </c>
      <c r="S209" t="s">
        <v>40</v>
      </c>
      <c r="T209">
        <v>45129</v>
      </c>
      <c r="U209" t="s">
        <v>229</v>
      </c>
      <c r="V209" s="2">
        <v>44984.683888888918</v>
      </c>
      <c r="W209" t="s">
        <v>40</v>
      </c>
      <c r="X209">
        <v>0</v>
      </c>
      <c r="Y209" t="s">
        <v>40</v>
      </c>
      <c r="Z209" t="s">
        <v>40</v>
      </c>
      <c r="AA209" t="s">
        <v>40</v>
      </c>
      <c r="AB209">
        <v>0</v>
      </c>
      <c r="AC209" t="s">
        <v>49</v>
      </c>
      <c r="AD209" t="s">
        <v>40</v>
      </c>
      <c r="AE209" t="s">
        <v>40</v>
      </c>
      <c r="AF209" t="s">
        <v>40</v>
      </c>
      <c r="AG209" t="s">
        <v>40</v>
      </c>
      <c r="AH209" t="s">
        <v>40</v>
      </c>
      <c r="AI209" t="s">
        <v>40</v>
      </c>
      <c r="AJ209" t="s">
        <v>40</v>
      </c>
      <c r="AK209" t="s">
        <v>40</v>
      </c>
      <c r="AL209" t="s">
        <v>40</v>
      </c>
      <c r="AM209" t="s">
        <v>40</v>
      </c>
    </row>
    <row r="210" spans="1:39" x14ac:dyDescent="0.2">
      <c r="A210" s="4" t="s">
        <v>813</v>
      </c>
      <c r="B210" s="4" t="s">
        <v>814</v>
      </c>
      <c r="C210" s="4" t="s">
        <v>40</v>
      </c>
      <c r="D210" s="4" t="s">
        <v>40</v>
      </c>
      <c r="E210" s="4" t="s">
        <v>40</v>
      </c>
      <c r="F210" t="s">
        <v>40</v>
      </c>
      <c r="G210" t="s">
        <v>813</v>
      </c>
      <c r="H210" t="s">
        <v>40</v>
      </c>
      <c r="I210" t="s">
        <v>40</v>
      </c>
      <c r="J210" t="s">
        <v>40</v>
      </c>
      <c r="K210" t="s">
        <v>40</v>
      </c>
      <c r="L210" t="s">
        <v>40</v>
      </c>
      <c r="M210">
        <v>53.7</v>
      </c>
      <c r="N210">
        <v>200</v>
      </c>
      <c r="O210">
        <v>2</v>
      </c>
      <c r="P210">
        <v>30</v>
      </c>
      <c r="Q210" t="s">
        <v>77</v>
      </c>
      <c r="R210" t="b">
        <v>0</v>
      </c>
      <c r="S210" t="s">
        <v>40</v>
      </c>
      <c r="T210">
        <v>45244</v>
      </c>
      <c r="U210" t="s">
        <v>229</v>
      </c>
      <c r="V210" s="2">
        <v>44984.69043980306</v>
      </c>
      <c r="W210" t="s">
        <v>40</v>
      </c>
      <c r="X210">
        <v>0</v>
      </c>
      <c r="Y210" t="s">
        <v>40</v>
      </c>
      <c r="Z210" t="s">
        <v>40</v>
      </c>
      <c r="AA210" t="s">
        <v>40</v>
      </c>
      <c r="AB210">
        <v>0</v>
      </c>
      <c r="AC210" t="s">
        <v>49</v>
      </c>
      <c r="AD210" t="s">
        <v>40</v>
      </c>
      <c r="AE210" t="s">
        <v>40</v>
      </c>
      <c r="AF210" t="s">
        <v>40</v>
      </c>
      <c r="AG210" t="s">
        <v>40</v>
      </c>
      <c r="AH210" t="s">
        <v>40</v>
      </c>
      <c r="AI210" t="s">
        <v>40</v>
      </c>
      <c r="AJ210" t="s">
        <v>40</v>
      </c>
      <c r="AK210" t="s">
        <v>40</v>
      </c>
      <c r="AL210" t="s">
        <v>40</v>
      </c>
      <c r="AM210" t="s">
        <v>40</v>
      </c>
    </row>
    <row r="211" spans="1:39" x14ac:dyDescent="0.2">
      <c r="A211" s="4" t="s">
        <v>815</v>
      </c>
      <c r="B211" s="4" t="s">
        <v>816</v>
      </c>
      <c r="C211" s="4" t="s">
        <v>40</v>
      </c>
      <c r="D211" s="4" t="s">
        <v>40</v>
      </c>
      <c r="E211" s="4" t="s">
        <v>40</v>
      </c>
      <c r="F211" t="s">
        <v>40</v>
      </c>
      <c r="G211" t="s">
        <v>815</v>
      </c>
      <c r="H211" t="s">
        <v>40</v>
      </c>
      <c r="I211" t="s">
        <v>40</v>
      </c>
      <c r="J211" t="s">
        <v>40</v>
      </c>
      <c r="K211" t="s">
        <v>40</v>
      </c>
      <c r="L211" t="s">
        <v>40</v>
      </c>
      <c r="M211">
        <v>2.25</v>
      </c>
      <c r="N211">
        <v>100</v>
      </c>
      <c r="O211">
        <v>2</v>
      </c>
      <c r="P211">
        <v>30</v>
      </c>
      <c r="Q211" t="s">
        <v>77</v>
      </c>
      <c r="R211" t="b">
        <v>0</v>
      </c>
      <c r="S211" t="s">
        <v>40</v>
      </c>
      <c r="T211">
        <v>45306</v>
      </c>
      <c r="U211" t="s">
        <v>229</v>
      </c>
      <c r="V211" s="2">
        <v>44985.714166666847</v>
      </c>
      <c r="W211" t="s">
        <v>40</v>
      </c>
      <c r="X211">
        <v>0</v>
      </c>
      <c r="Y211" t="s">
        <v>40</v>
      </c>
      <c r="Z211" t="s">
        <v>40</v>
      </c>
      <c r="AA211" t="s">
        <v>40</v>
      </c>
      <c r="AB211">
        <v>0</v>
      </c>
      <c r="AC211" t="s">
        <v>49</v>
      </c>
      <c r="AD211" t="s">
        <v>40</v>
      </c>
      <c r="AE211" t="s">
        <v>40</v>
      </c>
      <c r="AF211" t="s">
        <v>40</v>
      </c>
      <c r="AG211" t="s">
        <v>40</v>
      </c>
      <c r="AH211" t="s">
        <v>40</v>
      </c>
      <c r="AI211" t="s">
        <v>40</v>
      </c>
      <c r="AJ211" t="s">
        <v>40</v>
      </c>
      <c r="AK211" t="s">
        <v>40</v>
      </c>
      <c r="AL211" t="s">
        <v>40</v>
      </c>
      <c r="AM211" t="s">
        <v>40</v>
      </c>
    </row>
    <row r="212" spans="1:39" x14ac:dyDescent="0.2">
      <c r="A212" s="4" t="s">
        <v>817</v>
      </c>
      <c r="B212" s="4" t="s">
        <v>818</v>
      </c>
      <c r="C212" s="4" t="s">
        <v>40</v>
      </c>
      <c r="D212" s="4" t="s">
        <v>40</v>
      </c>
      <c r="E212" s="4" t="s">
        <v>40</v>
      </c>
      <c r="F212" t="s">
        <v>40</v>
      </c>
      <c r="G212" t="s">
        <v>817</v>
      </c>
      <c r="H212" t="s">
        <v>40</v>
      </c>
      <c r="I212" t="s">
        <v>40</v>
      </c>
      <c r="J212" t="s">
        <v>40</v>
      </c>
      <c r="K212" t="s">
        <v>40</v>
      </c>
      <c r="L212" t="s">
        <v>40</v>
      </c>
      <c r="M212">
        <v>19.600000000000001</v>
      </c>
      <c r="N212">
        <v>200</v>
      </c>
      <c r="O212">
        <v>2</v>
      </c>
      <c r="P212">
        <v>30</v>
      </c>
      <c r="Q212" t="s">
        <v>77</v>
      </c>
      <c r="R212" t="b">
        <v>0</v>
      </c>
      <c r="S212" t="s">
        <v>40</v>
      </c>
      <c r="T212">
        <v>44996</v>
      </c>
      <c r="U212" t="s">
        <v>229</v>
      </c>
      <c r="V212" s="2">
        <v>44986.373321747873</v>
      </c>
      <c r="W212" t="s">
        <v>40</v>
      </c>
      <c r="X212">
        <v>0</v>
      </c>
      <c r="Y212" t="s">
        <v>40</v>
      </c>
      <c r="Z212" t="s">
        <v>40</v>
      </c>
      <c r="AA212" t="s">
        <v>40</v>
      </c>
      <c r="AB212">
        <v>1</v>
      </c>
      <c r="AC212" t="s">
        <v>49</v>
      </c>
      <c r="AD212" t="s">
        <v>40</v>
      </c>
      <c r="AE212" t="s">
        <v>40</v>
      </c>
      <c r="AF212" t="s">
        <v>40</v>
      </c>
      <c r="AG212" t="s">
        <v>40</v>
      </c>
      <c r="AH212" t="s">
        <v>40</v>
      </c>
      <c r="AI212" t="s">
        <v>40</v>
      </c>
      <c r="AJ212" t="s">
        <v>40</v>
      </c>
      <c r="AK212" t="s">
        <v>40</v>
      </c>
      <c r="AL212" t="s">
        <v>40</v>
      </c>
      <c r="AM212" t="s">
        <v>40</v>
      </c>
    </row>
    <row r="213" spans="1:39" x14ac:dyDescent="0.2">
      <c r="A213" s="4" t="s">
        <v>819</v>
      </c>
      <c r="B213" s="4" t="s">
        <v>820</v>
      </c>
      <c r="C213" s="4" t="s">
        <v>40</v>
      </c>
      <c r="D213" s="4" t="s">
        <v>40</v>
      </c>
      <c r="E213" s="4" t="s">
        <v>40</v>
      </c>
      <c r="F213" t="s">
        <v>40</v>
      </c>
      <c r="G213" t="s">
        <v>819</v>
      </c>
      <c r="H213" t="s">
        <v>40</v>
      </c>
      <c r="I213" t="s">
        <v>40</v>
      </c>
      <c r="J213" t="s">
        <v>40</v>
      </c>
      <c r="K213" t="s">
        <v>40</v>
      </c>
      <c r="L213" t="s">
        <v>40</v>
      </c>
      <c r="M213">
        <v>7.0500000000000007</v>
      </c>
      <c r="N213">
        <v>200</v>
      </c>
      <c r="O213">
        <v>2</v>
      </c>
      <c r="P213">
        <v>30</v>
      </c>
      <c r="Q213" t="s">
        <v>77</v>
      </c>
      <c r="R213" t="b">
        <v>0</v>
      </c>
      <c r="S213" t="s">
        <v>40</v>
      </c>
      <c r="T213" t="s">
        <v>49</v>
      </c>
      <c r="U213" t="s">
        <v>229</v>
      </c>
      <c r="V213" s="2">
        <v>44986.389143518638</v>
      </c>
      <c r="W213" t="s">
        <v>40</v>
      </c>
      <c r="X213">
        <v>0</v>
      </c>
      <c r="Y213" t="s">
        <v>40</v>
      </c>
      <c r="Z213" t="s">
        <v>40</v>
      </c>
      <c r="AA213" t="s">
        <v>40</v>
      </c>
      <c r="AB213">
        <v>1</v>
      </c>
      <c r="AC213" t="s">
        <v>49</v>
      </c>
      <c r="AD213" t="s">
        <v>40</v>
      </c>
      <c r="AE213" t="s">
        <v>40</v>
      </c>
      <c r="AF213" t="s">
        <v>40</v>
      </c>
      <c r="AG213" t="s">
        <v>40</v>
      </c>
      <c r="AH213" t="s">
        <v>40</v>
      </c>
      <c r="AI213" t="s">
        <v>40</v>
      </c>
      <c r="AJ213" t="s">
        <v>40</v>
      </c>
      <c r="AK213" t="s">
        <v>40</v>
      </c>
      <c r="AL213" t="s">
        <v>40</v>
      </c>
      <c r="AM213" t="s">
        <v>40</v>
      </c>
    </row>
    <row r="214" spans="1:39" x14ac:dyDescent="0.2">
      <c r="A214" s="4" t="s">
        <v>821</v>
      </c>
      <c r="B214" s="4" t="s">
        <v>1620</v>
      </c>
      <c r="C214" s="4" t="s">
        <v>40</v>
      </c>
      <c r="D214" s="4" t="s">
        <v>40</v>
      </c>
      <c r="E214" s="4" t="s">
        <v>40</v>
      </c>
      <c r="F214" t="s">
        <v>40</v>
      </c>
      <c r="G214" t="s">
        <v>822</v>
      </c>
      <c r="H214" t="s">
        <v>823</v>
      </c>
      <c r="I214" t="s">
        <v>40</v>
      </c>
      <c r="J214" t="s">
        <v>40</v>
      </c>
      <c r="K214" t="s">
        <v>40</v>
      </c>
      <c r="L214" t="s">
        <v>40</v>
      </c>
      <c r="M214">
        <v>646.73</v>
      </c>
      <c r="N214">
        <v>500</v>
      </c>
      <c r="O214">
        <v>2</v>
      </c>
      <c r="P214">
        <v>30</v>
      </c>
      <c r="Q214" t="s">
        <v>77</v>
      </c>
      <c r="R214" t="b">
        <v>0</v>
      </c>
      <c r="S214" t="s">
        <v>40</v>
      </c>
      <c r="T214" s="1">
        <v>45321</v>
      </c>
      <c r="U214" t="s">
        <v>229</v>
      </c>
      <c r="V214" s="2">
        <v>44986.433553229086</v>
      </c>
      <c r="W214" t="s">
        <v>40</v>
      </c>
      <c r="X214">
        <v>0</v>
      </c>
      <c r="Y214" t="s">
        <v>40</v>
      </c>
      <c r="Z214" t="s">
        <v>40</v>
      </c>
      <c r="AA214" t="s">
        <v>40</v>
      </c>
      <c r="AB214">
        <v>2</v>
      </c>
      <c r="AC214" t="s">
        <v>49</v>
      </c>
      <c r="AD214" t="s">
        <v>40</v>
      </c>
      <c r="AE214" t="s">
        <v>40</v>
      </c>
      <c r="AF214" t="s">
        <v>40</v>
      </c>
      <c r="AG214" t="s">
        <v>40</v>
      </c>
      <c r="AH214" t="s">
        <v>40</v>
      </c>
      <c r="AI214" t="s">
        <v>40</v>
      </c>
      <c r="AJ214" t="s">
        <v>40</v>
      </c>
      <c r="AK214" t="s">
        <v>40</v>
      </c>
      <c r="AL214" t="s">
        <v>40</v>
      </c>
      <c r="AM214" t="s">
        <v>40</v>
      </c>
    </row>
    <row r="215" spans="1:39" x14ac:dyDescent="0.2">
      <c r="A215" s="4" t="s">
        <v>824</v>
      </c>
      <c r="B215" s="4" t="s">
        <v>825</v>
      </c>
      <c r="C215" s="4" t="s">
        <v>40</v>
      </c>
      <c r="D215" s="4" t="s">
        <v>40</v>
      </c>
      <c r="E215" s="4" t="s">
        <v>40</v>
      </c>
      <c r="F215" t="s">
        <v>40</v>
      </c>
      <c r="G215" t="s">
        <v>824</v>
      </c>
      <c r="H215" t="s">
        <v>40</v>
      </c>
      <c r="I215" t="s">
        <v>40</v>
      </c>
      <c r="J215" t="s">
        <v>40</v>
      </c>
      <c r="K215" t="s">
        <v>40</v>
      </c>
      <c r="L215" t="s">
        <v>40</v>
      </c>
      <c r="M215">
        <v>11.75</v>
      </c>
      <c r="N215">
        <v>200</v>
      </c>
      <c r="O215">
        <v>2</v>
      </c>
      <c r="P215">
        <v>30</v>
      </c>
      <c r="Q215" t="s">
        <v>77</v>
      </c>
      <c r="R215" t="b">
        <v>0</v>
      </c>
      <c r="S215" t="s">
        <v>826</v>
      </c>
      <c r="T215" s="1" t="s">
        <v>49</v>
      </c>
      <c r="U215" t="s">
        <v>229</v>
      </c>
      <c r="V215" s="2">
        <v>44987.582673611119</v>
      </c>
      <c r="W215" t="s">
        <v>40</v>
      </c>
      <c r="X215">
        <v>0</v>
      </c>
      <c r="Y215" t="s">
        <v>40</v>
      </c>
      <c r="Z215" t="s">
        <v>40</v>
      </c>
      <c r="AA215" t="s">
        <v>40</v>
      </c>
      <c r="AB215">
        <v>0</v>
      </c>
      <c r="AC215" t="s">
        <v>49</v>
      </c>
      <c r="AD215" t="s">
        <v>40</v>
      </c>
      <c r="AE215" t="s">
        <v>40</v>
      </c>
      <c r="AF215" t="s">
        <v>40</v>
      </c>
      <c r="AG215" t="s">
        <v>40</v>
      </c>
      <c r="AH215" t="s">
        <v>40</v>
      </c>
      <c r="AI215" t="s">
        <v>40</v>
      </c>
      <c r="AJ215" t="s">
        <v>40</v>
      </c>
      <c r="AK215" t="s">
        <v>40</v>
      </c>
      <c r="AL215" t="s">
        <v>40</v>
      </c>
      <c r="AM215" t="s">
        <v>40</v>
      </c>
    </row>
    <row r="216" spans="1:39" x14ac:dyDescent="0.2">
      <c r="A216" s="4" t="s">
        <v>827</v>
      </c>
      <c r="B216" s="4" t="s">
        <v>828</v>
      </c>
      <c r="C216" s="4" t="s">
        <v>40</v>
      </c>
      <c r="D216" s="4" t="s">
        <v>40</v>
      </c>
      <c r="E216" s="4" t="s">
        <v>40</v>
      </c>
      <c r="F216" t="s">
        <v>40</v>
      </c>
      <c r="G216" t="s">
        <v>829</v>
      </c>
      <c r="H216" t="s">
        <v>40</v>
      </c>
      <c r="I216" t="s">
        <v>40</v>
      </c>
      <c r="J216" t="s">
        <v>40</v>
      </c>
      <c r="K216" t="s">
        <v>40</v>
      </c>
      <c r="L216" t="s">
        <v>40</v>
      </c>
      <c r="M216">
        <v>0</v>
      </c>
      <c r="N216">
        <v>200</v>
      </c>
      <c r="O216">
        <v>1</v>
      </c>
      <c r="P216">
        <v>0</v>
      </c>
      <c r="Q216" t="s">
        <v>77</v>
      </c>
      <c r="R216" t="b">
        <v>0</v>
      </c>
      <c r="S216" t="s">
        <v>40</v>
      </c>
      <c r="T216" s="1" t="s">
        <v>49</v>
      </c>
      <c r="U216" t="s">
        <v>229</v>
      </c>
      <c r="V216" s="2">
        <v>44991.620555543806</v>
      </c>
      <c r="W216" t="s">
        <v>40</v>
      </c>
      <c r="X216">
        <v>0</v>
      </c>
      <c r="Y216" t="s">
        <v>40</v>
      </c>
      <c r="Z216" t="s">
        <v>40</v>
      </c>
      <c r="AA216" t="s">
        <v>40</v>
      </c>
      <c r="AB216">
        <v>2</v>
      </c>
      <c r="AC216" t="s">
        <v>49</v>
      </c>
      <c r="AD216" t="s">
        <v>40</v>
      </c>
      <c r="AE216" t="s">
        <v>40</v>
      </c>
      <c r="AF216" t="s">
        <v>40</v>
      </c>
      <c r="AG216" t="s">
        <v>40</v>
      </c>
      <c r="AH216" t="s">
        <v>40</v>
      </c>
      <c r="AI216" t="s">
        <v>40</v>
      </c>
      <c r="AJ216" t="s">
        <v>40</v>
      </c>
      <c r="AK216" t="s">
        <v>40</v>
      </c>
      <c r="AL216" t="s">
        <v>40</v>
      </c>
      <c r="AM216" t="s">
        <v>40</v>
      </c>
    </row>
    <row r="217" spans="1:39" x14ac:dyDescent="0.2">
      <c r="A217" s="4" t="s">
        <v>830</v>
      </c>
      <c r="B217" s="4" t="s">
        <v>831</v>
      </c>
      <c r="C217" s="4" t="s">
        <v>40</v>
      </c>
      <c r="D217" s="4" t="s">
        <v>40</v>
      </c>
      <c r="E217" s="4" t="s">
        <v>40</v>
      </c>
      <c r="F217" t="s">
        <v>40</v>
      </c>
      <c r="G217" t="s">
        <v>830</v>
      </c>
      <c r="H217" t="s">
        <v>40</v>
      </c>
      <c r="I217" t="s">
        <v>40</v>
      </c>
      <c r="J217" t="s">
        <v>40</v>
      </c>
      <c r="K217" t="s">
        <v>40</v>
      </c>
      <c r="L217" t="s">
        <v>40</v>
      </c>
      <c r="M217">
        <v>0</v>
      </c>
      <c r="N217">
        <v>200</v>
      </c>
      <c r="O217">
        <v>2</v>
      </c>
      <c r="P217">
        <v>30</v>
      </c>
      <c r="Q217" t="s">
        <v>77</v>
      </c>
      <c r="R217" t="b">
        <v>0</v>
      </c>
      <c r="S217" t="s">
        <v>40</v>
      </c>
      <c r="T217" s="1">
        <v>44991</v>
      </c>
      <c r="U217" t="s">
        <v>229</v>
      </c>
      <c r="V217" s="2">
        <v>44991.663807858713</v>
      </c>
      <c r="W217" t="s">
        <v>40</v>
      </c>
      <c r="X217">
        <v>0</v>
      </c>
      <c r="Y217" t="s">
        <v>40</v>
      </c>
      <c r="Z217" t="s">
        <v>40</v>
      </c>
      <c r="AA217" t="s">
        <v>40</v>
      </c>
      <c r="AB217">
        <v>0</v>
      </c>
      <c r="AC217" t="s">
        <v>49</v>
      </c>
      <c r="AD217" t="s">
        <v>40</v>
      </c>
      <c r="AE217" t="s">
        <v>40</v>
      </c>
      <c r="AF217" t="s">
        <v>40</v>
      </c>
      <c r="AG217" t="s">
        <v>40</v>
      </c>
      <c r="AH217" t="s">
        <v>40</v>
      </c>
      <c r="AI217" t="s">
        <v>40</v>
      </c>
      <c r="AJ217" t="s">
        <v>40</v>
      </c>
      <c r="AK217" t="s">
        <v>40</v>
      </c>
      <c r="AL217" t="s">
        <v>40</v>
      </c>
      <c r="AM217" t="s">
        <v>40</v>
      </c>
    </row>
    <row r="218" spans="1:39" x14ac:dyDescent="0.2">
      <c r="A218" s="4" t="s">
        <v>832</v>
      </c>
      <c r="B218" s="4" t="s">
        <v>833</v>
      </c>
      <c r="C218" s="4" t="s">
        <v>40</v>
      </c>
      <c r="D218" s="4" t="s">
        <v>40</v>
      </c>
      <c r="E218" s="4" t="s">
        <v>40</v>
      </c>
      <c r="F218" t="s">
        <v>40</v>
      </c>
      <c r="G218" t="s">
        <v>832</v>
      </c>
      <c r="H218" t="s">
        <v>40</v>
      </c>
      <c r="I218" t="s">
        <v>40</v>
      </c>
      <c r="J218" t="s">
        <v>40</v>
      </c>
      <c r="K218" t="s">
        <v>40</v>
      </c>
      <c r="L218" t="s">
        <v>40</v>
      </c>
      <c r="M218">
        <v>0</v>
      </c>
      <c r="N218">
        <v>200</v>
      </c>
      <c r="O218">
        <v>2</v>
      </c>
      <c r="P218">
        <v>30</v>
      </c>
      <c r="Q218" t="s">
        <v>77</v>
      </c>
      <c r="R218" t="b">
        <v>0</v>
      </c>
      <c r="S218" t="s">
        <v>40</v>
      </c>
      <c r="T218" s="1">
        <v>44999</v>
      </c>
      <c r="U218" t="s">
        <v>229</v>
      </c>
      <c r="V218" s="2">
        <v>44991.720462962985</v>
      </c>
      <c r="W218" t="s">
        <v>40</v>
      </c>
      <c r="X218">
        <v>0</v>
      </c>
      <c r="Y218" t="s">
        <v>40</v>
      </c>
      <c r="Z218" t="s">
        <v>40</v>
      </c>
      <c r="AA218" t="s">
        <v>40</v>
      </c>
      <c r="AB218">
        <v>0</v>
      </c>
      <c r="AC218" t="s">
        <v>49</v>
      </c>
      <c r="AD218" t="s">
        <v>40</v>
      </c>
      <c r="AE218" t="s">
        <v>40</v>
      </c>
      <c r="AF218" t="s">
        <v>40</v>
      </c>
      <c r="AG218" t="s">
        <v>40</v>
      </c>
      <c r="AH218" t="s">
        <v>40</v>
      </c>
      <c r="AI218" t="s">
        <v>40</v>
      </c>
      <c r="AJ218" t="s">
        <v>40</v>
      </c>
      <c r="AK218" t="s">
        <v>40</v>
      </c>
      <c r="AL218" t="s">
        <v>40</v>
      </c>
      <c r="AM218" t="s">
        <v>40</v>
      </c>
    </row>
    <row r="219" spans="1:39" x14ac:dyDescent="0.2">
      <c r="A219" s="4" t="s">
        <v>834</v>
      </c>
      <c r="B219" s="4" t="s">
        <v>835</v>
      </c>
      <c r="C219" s="4" t="s">
        <v>40</v>
      </c>
      <c r="D219" s="4" t="s">
        <v>40</v>
      </c>
      <c r="E219" s="4" t="s">
        <v>40</v>
      </c>
      <c r="F219" t="s">
        <v>40</v>
      </c>
      <c r="G219" t="s">
        <v>834</v>
      </c>
      <c r="H219" t="s">
        <v>40</v>
      </c>
      <c r="I219" t="s">
        <v>40</v>
      </c>
      <c r="J219" t="s">
        <v>40</v>
      </c>
      <c r="K219" t="s">
        <v>40</v>
      </c>
      <c r="L219" t="s">
        <v>40</v>
      </c>
      <c r="M219">
        <v>24.5</v>
      </c>
      <c r="N219">
        <v>200</v>
      </c>
      <c r="O219">
        <v>2</v>
      </c>
      <c r="P219">
        <v>30</v>
      </c>
      <c r="Q219" t="s">
        <v>77</v>
      </c>
      <c r="R219" t="b">
        <v>0</v>
      </c>
      <c r="S219" t="s">
        <v>40</v>
      </c>
      <c r="T219" s="1">
        <v>44977</v>
      </c>
      <c r="U219" t="s">
        <v>229</v>
      </c>
      <c r="V219" s="2">
        <v>44992.63089120388</v>
      </c>
      <c r="W219" t="s">
        <v>40</v>
      </c>
      <c r="X219">
        <v>0</v>
      </c>
      <c r="Y219" t="s">
        <v>40</v>
      </c>
      <c r="Z219" t="s">
        <v>40</v>
      </c>
      <c r="AA219" t="s">
        <v>40</v>
      </c>
      <c r="AB219">
        <v>1</v>
      </c>
      <c r="AC219" t="s">
        <v>49</v>
      </c>
      <c r="AD219" t="s">
        <v>40</v>
      </c>
      <c r="AE219" t="s">
        <v>40</v>
      </c>
      <c r="AF219" t="s">
        <v>40</v>
      </c>
      <c r="AG219" t="s">
        <v>40</v>
      </c>
      <c r="AH219" t="s">
        <v>40</v>
      </c>
      <c r="AI219" t="s">
        <v>40</v>
      </c>
      <c r="AJ219" t="s">
        <v>40</v>
      </c>
      <c r="AK219" t="s">
        <v>40</v>
      </c>
      <c r="AL219" t="s">
        <v>40</v>
      </c>
      <c r="AM219" t="s">
        <v>40</v>
      </c>
    </row>
    <row r="220" spans="1:39" x14ac:dyDescent="0.2">
      <c r="A220" s="4" t="s">
        <v>836</v>
      </c>
      <c r="B220" s="4" t="s">
        <v>837</v>
      </c>
      <c r="C220" s="4" t="s">
        <v>40</v>
      </c>
      <c r="D220" s="4" t="s">
        <v>40</v>
      </c>
      <c r="E220" s="4" t="s">
        <v>40</v>
      </c>
      <c r="F220" t="s">
        <v>40</v>
      </c>
      <c r="G220" t="s">
        <v>836</v>
      </c>
      <c r="H220" t="s">
        <v>40</v>
      </c>
      <c r="I220" t="s">
        <v>40</v>
      </c>
      <c r="J220" t="s">
        <v>40</v>
      </c>
      <c r="K220" t="s">
        <v>40</v>
      </c>
      <c r="L220" t="s">
        <v>40</v>
      </c>
      <c r="M220">
        <v>0</v>
      </c>
      <c r="N220">
        <v>200</v>
      </c>
      <c r="O220">
        <v>2</v>
      </c>
      <c r="P220">
        <v>30</v>
      </c>
      <c r="Q220" t="s">
        <v>77</v>
      </c>
      <c r="R220" t="b">
        <v>0</v>
      </c>
      <c r="S220" t="s">
        <v>40</v>
      </c>
      <c r="T220">
        <v>45079</v>
      </c>
      <c r="U220" t="s">
        <v>229</v>
      </c>
      <c r="V220" s="2">
        <v>44992.633344895672</v>
      </c>
      <c r="W220" t="s">
        <v>40</v>
      </c>
      <c r="X220">
        <v>0</v>
      </c>
      <c r="Y220" t="s">
        <v>40</v>
      </c>
      <c r="Z220" t="s">
        <v>40</v>
      </c>
      <c r="AA220" t="s">
        <v>40</v>
      </c>
      <c r="AB220">
        <v>1</v>
      </c>
      <c r="AC220" t="s">
        <v>49</v>
      </c>
      <c r="AD220" t="s">
        <v>40</v>
      </c>
      <c r="AE220" t="s">
        <v>40</v>
      </c>
      <c r="AF220" t="s">
        <v>40</v>
      </c>
      <c r="AG220" t="s">
        <v>40</v>
      </c>
      <c r="AH220" t="s">
        <v>40</v>
      </c>
      <c r="AI220" t="s">
        <v>40</v>
      </c>
      <c r="AJ220" t="s">
        <v>40</v>
      </c>
      <c r="AK220" t="s">
        <v>40</v>
      </c>
      <c r="AL220" t="s">
        <v>40</v>
      </c>
      <c r="AM220" t="s">
        <v>40</v>
      </c>
    </row>
    <row r="221" spans="1:39" x14ac:dyDescent="0.2">
      <c r="A221" s="4" t="s">
        <v>838</v>
      </c>
      <c r="B221" s="4" t="s">
        <v>839</v>
      </c>
      <c r="C221" s="4" t="s">
        <v>40</v>
      </c>
      <c r="D221" s="4" t="s">
        <v>40</v>
      </c>
      <c r="E221" s="4" t="s">
        <v>40</v>
      </c>
      <c r="F221" t="s">
        <v>40</v>
      </c>
      <c r="G221" t="s">
        <v>838</v>
      </c>
      <c r="H221" t="s">
        <v>40</v>
      </c>
      <c r="I221" t="s">
        <v>40</v>
      </c>
      <c r="J221" t="s">
        <v>40</v>
      </c>
      <c r="K221" t="s">
        <v>40</v>
      </c>
      <c r="L221" t="s">
        <v>40</v>
      </c>
      <c r="M221">
        <v>32.9</v>
      </c>
      <c r="N221">
        <v>300</v>
      </c>
      <c r="O221">
        <v>2</v>
      </c>
      <c r="P221">
        <v>30</v>
      </c>
      <c r="Q221" t="s">
        <v>77</v>
      </c>
      <c r="R221" t="b">
        <v>0</v>
      </c>
      <c r="S221" t="s">
        <v>40</v>
      </c>
      <c r="T221" s="1" t="s">
        <v>49</v>
      </c>
      <c r="U221" t="s">
        <v>229</v>
      </c>
      <c r="V221" s="2">
        <v>44992.64974535862</v>
      </c>
      <c r="W221" t="s">
        <v>40</v>
      </c>
      <c r="X221">
        <v>0</v>
      </c>
      <c r="Y221" t="s">
        <v>40</v>
      </c>
      <c r="Z221" t="s">
        <v>40</v>
      </c>
      <c r="AA221" t="s">
        <v>40</v>
      </c>
      <c r="AB221">
        <v>0</v>
      </c>
      <c r="AC221" t="s">
        <v>49</v>
      </c>
      <c r="AD221" t="s">
        <v>40</v>
      </c>
      <c r="AE221" t="s">
        <v>40</v>
      </c>
      <c r="AF221" t="s">
        <v>40</v>
      </c>
      <c r="AG221" t="s">
        <v>40</v>
      </c>
      <c r="AH221" t="s">
        <v>40</v>
      </c>
      <c r="AI221" t="s">
        <v>40</v>
      </c>
      <c r="AJ221" t="s">
        <v>40</v>
      </c>
      <c r="AK221" t="s">
        <v>40</v>
      </c>
      <c r="AL221" t="s">
        <v>40</v>
      </c>
      <c r="AM221" t="s">
        <v>40</v>
      </c>
    </row>
    <row r="222" spans="1:39" x14ac:dyDescent="0.2">
      <c r="A222" s="4" t="s">
        <v>840</v>
      </c>
      <c r="B222" s="4" t="s">
        <v>1621</v>
      </c>
      <c r="C222" s="4" t="s">
        <v>40</v>
      </c>
      <c r="D222" s="4" t="s">
        <v>40</v>
      </c>
      <c r="E222" s="4" t="s">
        <v>40</v>
      </c>
      <c r="F222" t="s">
        <v>40</v>
      </c>
      <c r="G222" t="s">
        <v>841</v>
      </c>
      <c r="H222" t="s">
        <v>842</v>
      </c>
      <c r="I222" t="s">
        <v>40</v>
      </c>
      <c r="J222" t="s">
        <v>40</v>
      </c>
      <c r="K222" t="s">
        <v>40</v>
      </c>
      <c r="L222" t="s">
        <v>40</v>
      </c>
      <c r="M222">
        <v>0</v>
      </c>
      <c r="N222">
        <v>200</v>
      </c>
      <c r="O222">
        <v>1</v>
      </c>
      <c r="P222">
        <v>0</v>
      </c>
      <c r="Q222" t="s">
        <v>77</v>
      </c>
      <c r="R222" t="b">
        <v>0</v>
      </c>
      <c r="S222" t="s">
        <v>40</v>
      </c>
      <c r="T222" s="1" t="s">
        <v>49</v>
      </c>
      <c r="U222" t="s">
        <v>229</v>
      </c>
      <c r="V222" s="2">
        <v>44994.503622673452</v>
      </c>
      <c r="W222" t="s">
        <v>40</v>
      </c>
      <c r="X222">
        <v>0</v>
      </c>
      <c r="Y222" t="s">
        <v>40</v>
      </c>
      <c r="Z222" t="s">
        <v>40</v>
      </c>
      <c r="AA222" t="s">
        <v>40</v>
      </c>
      <c r="AB222">
        <v>2</v>
      </c>
      <c r="AC222" t="s">
        <v>49</v>
      </c>
      <c r="AD222" t="s">
        <v>40</v>
      </c>
      <c r="AE222" t="s">
        <v>40</v>
      </c>
      <c r="AF222" t="s">
        <v>40</v>
      </c>
      <c r="AG222" t="s">
        <v>40</v>
      </c>
      <c r="AH222" t="s">
        <v>40</v>
      </c>
      <c r="AI222" t="s">
        <v>40</v>
      </c>
      <c r="AJ222" t="s">
        <v>40</v>
      </c>
      <c r="AK222" t="s">
        <v>40</v>
      </c>
      <c r="AL222" t="s">
        <v>40</v>
      </c>
      <c r="AM222" t="s">
        <v>40</v>
      </c>
    </row>
    <row r="223" spans="1:39" x14ac:dyDescent="0.2">
      <c r="A223" s="4" t="s">
        <v>843</v>
      </c>
      <c r="B223" s="4" t="s">
        <v>844</v>
      </c>
      <c r="C223" s="4" t="s">
        <v>40</v>
      </c>
      <c r="D223" s="4" t="s">
        <v>40</v>
      </c>
      <c r="E223" s="4" t="s">
        <v>40</v>
      </c>
      <c r="F223" t="s">
        <v>40</v>
      </c>
      <c r="G223" t="s">
        <v>843</v>
      </c>
      <c r="H223" t="s">
        <v>40</v>
      </c>
      <c r="I223" t="s">
        <v>40</v>
      </c>
      <c r="J223" t="s">
        <v>40</v>
      </c>
      <c r="K223" t="s">
        <v>40</v>
      </c>
      <c r="L223" t="s">
        <v>40</v>
      </c>
      <c r="M223">
        <v>34.300000000000004</v>
      </c>
      <c r="N223">
        <v>200</v>
      </c>
      <c r="O223">
        <v>2</v>
      </c>
      <c r="P223">
        <v>30</v>
      </c>
      <c r="Q223" t="s">
        <v>77</v>
      </c>
      <c r="R223" t="b">
        <v>0</v>
      </c>
      <c r="S223" t="s">
        <v>40</v>
      </c>
      <c r="T223">
        <v>45206</v>
      </c>
      <c r="U223" t="s">
        <v>229</v>
      </c>
      <c r="V223" s="2">
        <v>44994.610671284609</v>
      </c>
      <c r="W223" t="s">
        <v>40</v>
      </c>
      <c r="X223">
        <v>0</v>
      </c>
      <c r="Y223" t="s">
        <v>40</v>
      </c>
      <c r="Z223" t="s">
        <v>40</v>
      </c>
      <c r="AA223" t="s">
        <v>40</v>
      </c>
      <c r="AB223">
        <v>1</v>
      </c>
      <c r="AC223" t="s">
        <v>49</v>
      </c>
      <c r="AD223" t="s">
        <v>40</v>
      </c>
      <c r="AE223" t="s">
        <v>40</v>
      </c>
      <c r="AF223" t="s">
        <v>40</v>
      </c>
      <c r="AG223" t="s">
        <v>40</v>
      </c>
      <c r="AH223" t="s">
        <v>40</v>
      </c>
      <c r="AI223" t="s">
        <v>40</v>
      </c>
      <c r="AJ223" t="s">
        <v>40</v>
      </c>
      <c r="AK223" t="s">
        <v>40</v>
      </c>
      <c r="AL223" t="s">
        <v>40</v>
      </c>
      <c r="AM223" t="s">
        <v>40</v>
      </c>
    </row>
    <row r="224" spans="1:39" x14ac:dyDescent="0.2">
      <c r="A224" s="4" t="s">
        <v>845</v>
      </c>
      <c r="B224" s="4" t="s">
        <v>846</v>
      </c>
      <c r="C224" s="4" t="s">
        <v>40</v>
      </c>
      <c r="D224" s="4" t="s">
        <v>40</v>
      </c>
      <c r="E224" s="4" t="s">
        <v>40</v>
      </c>
      <c r="F224" t="s">
        <v>40</v>
      </c>
      <c r="G224" t="s">
        <v>845</v>
      </c>
      <c r="H224" t="s">
        <v>40</v>
      </c>
      <c r="I224" t="s">
        <v>40</v>
      </c>
      <c r="J224" t="s">
        <v>40</v>
      </c>
      <c r="K224" t="s">
        <v>40</v>
      </c>
      <c r="L224" t="s">
        <v>40</v>
      </c>
      <c r="M224">
        <v>4.7</v>
      </c>
      <c r="N224">
        <v>200</v>
      </c>
      <c r="O224">
        <v>2</v>
      </c>
      <c r="P224">
        <v>30</v>
      </c>
      <c r="Q224" t="s">
        <v>77</v>
      </c>
      <c r="R224" t="b">
        <v>0</v>
      </c>
      <c r="S224" t="s">
        <v>40</v>
      </c>
      <c r="T224" s="1">
        <v>45063</v>
      </c>
      <c r="U224" t="s">
        <v>229</v>
      </c>
      <c r="V224" s="2">
        <v>44995.46491897013</v>
      </c>
      <c r="W224" t="s">
        <v>40</v>
      </c>
      <c r="X224">
        <v>0</v>
      </c>
      <c r="Y224" t="s">
        <v>40</v>
      </c>
      <c r="Z224" t="s">
        <v>40</v>
      </c>
      <c r="AA224" t="s">
        <v>40</v>
      </c>
      <c r="AB224">
        <v>1</v>
      </c>
      <c r="AC224" t="s">
        <v>49</v>
      </c>
      <c r="AD224" t="s">
        <v>40</v>
      </c>
      <c r="AE224" t="s">
        <v>40</v>
      </c>
      <c r="AF224" t="s">
        <v>40</v>
      </c>
      <c r="AG224" t="s">
        <v>40</v>
      </c>
      <c r="AH224" t="s">
        <v>40</v>
      </c>
      <c r="AI224" t="s">
        <v>40</v>
      </c>
      <c r="AJ224" t="s">
        <v>40</v>
      </c>
      <c r="AK224" t="s">
        <v>40</v>
      </c>
      <c r="AL224" t="s">
        <v>40</v>
      </c>
      <c r="AM224" t="s">
        <v>40</v>
      </c>
    </row>
    <row r="225" spans="1:39" x14ac:dyDescent="0.2">
      <c r="A225" s="4" t="s">
        <v>847</v>
      </c>
      <c r="B225" s="4" t="s">
        <v>848</v>
      </c>
      <c r="C225" s="4" t="s">
        <v>40</v>
      </c>
      <c r="D225" s="4" t="s">
        <v>40</v>
      </c>
      <c r="E225" s="4" t="s">
        <v>40</v>
      </c>
      <c r="F225" t="s">
        <v>40</v>
      </c>
      <c r="G225" t="s">
        <v>847</v>
      </c>
      <c r="H225" t="s">
        <v>40</v>
      </c>
      <c r="I225" t="s">
        <v>40</v>
      </c>
      <c r="J225" t="s">
        <v>40</v>
      </c>
      <c r="K225" t="s">
        <v>40</v>
      </c>
      <c r="L225" t="s">
        <v>40</v>
      </c>
      <c r="M225">
        <v>0</v>
      </c>
      <c r="N225">
        <v>200</v>
      </c>
      <c r="O225">
        <v>2</v>
      </c>
      <c r="P225">
        <v>30</v>
      </c>
      <c r="Q225" t="s">
        <v>77</v>
      </c>
      <c r="R225" t="b">
        <v>0</v>
      </c>
      <c r="S225" t="s">
        <v>40</v>
      </c>
      <c r="T225">
        <v>44991</v>
      </c>
      <c r="U225" t="s">
        <v>229</v>
      </c>
      <c r="V225" s="2">
        <v>44995.477164340205</v>
      </c>
      <c r="W225" t="s">
        <v>40</v>
      </c>
      <c r="X225">
        <v>0</v>
      </c>
      <c r="Y225" t="s">
        <v>40</v>
      </c>
      <c r="Z225" t="s">
        <v>40</v>
      </c>
      <c r="AA225" t="s">
        <v>40</v>
      </c>
      <c r="AB225">
        <v>0</v>
      </c>
      <c r="AC225" t="s">
        <v>49</v>
      </c>
      <c r="AD225" t="s">
        <v>40</v>
      </c>
      <c r="AE225" t="s">
        <v>40</v>
      </c>
      <c r="AF225" t="s">
        <v>40</v>
      </c>
      <c r="AG225" t="s">
        <v>40</v>
      </c>
      <c r="AH225" t="s">
        <v>40</v>
      </c>
      <c r="AI225" t="s">
        <v>40</v>
      </c>
      <c r="AJ225" t="s">
        <v>40</v>
      </c>
      <c r="AK225" t="s">
        <v>40</v>
      </c>
      <c r="AL225" t="s">
        <v>40</v>
      </c>
      <c r="AM225" t="s">
        <v>40</v>
      </c>
    </row>
    <row r="226" spans="1:39" x14ac:dyDescent="0.2">
      <c r="A226" s="4" t="s">
        <v>849</v>
      </c>
      <c r="B226" s="4" t="s">
        <v>850</v>
      </c>
      <c r="C226" s="4" t="s">
        <v>40</v>
      </c>
      <c r="D226" s="4" t="s">
        <v>40</v>
      </c>
      <c r="E226" s="4" t="s">
        <v>40</v>
      </c>
      <c r="F226" t="s">
        <v>40</v>
      </c>
      <c r="G226" t="s">
        <v>849</v>
      </c>
      <c r="H226" t="s">
        <v>40</v>
      </c>
      <c r="I226" t="s">
        <v>40</v>
      </c>
      <c r="J226" t="s">
        <v>40</v>
      </c>
      <c r="K226" t="s">
        <v>40</v>
      </c>
      <c r="L226" t="s">
        <v>40</v>
      </c>
      <c r="M226">
        <v>-12.25</v>
      </c>
      <c r="N226">
        <v>200</v>
      </c>
      <c r="O226">
        <v>2</v>
      </c>
      <c r="P226">
        <v>30</v>
      </c>
      <c r="Q226" t="s">
        <v>77</v>
      </c>
      <c r="R226" t="b">
        <v>0</v>
      </c>
      <c r="S226" t="s">
        <v>40</v>
      </c>
      <c r="T226" s="1">
        <v>45276</v>
      </c>
      <c r="U226" t="s">
        <v>229</v>
      </c>
      <c r="V226" s="2">
        <v>45000.373761574272</v>
      </c>
      <c r="W226" t="s">
        <v>40</v>
      </c>
      <c r="X226">
        <v>0</v>
      </c>
      <c r="Y226" t="s">
        <v>40</v>
      </c>
      <c r="Z226" t="s">
        <v>40</v>
      </c>
      <c r="AA226" t="s">
        <v>40</v>
      </c>
      <c r="AB226">
        <v>0</v>
      </c>
      <c r="AC226" t="s">
        <v>49</v>
      </c>
      <c r="AD226" t="s">
        <v>40</v>
      </c>
      <c r="AE226" t="s">
        <v>40</v>
      </c>
      <c r="AF226" t="s">
        <v>40</v>
      </c>
      <c r="AG226" t="s">
        <v>40</v>
      </c>
      <c r="AH226" t="s">
        <v>40</v>
      </c>
      <c r="AI226" t="s">
        <v>40</v>
      </c>
      <c r="AJ226" t="s">
        <v>40</v>
      </c>
      <c r="AK226" t="s">
        <v>40</v>
      </c>
      <c r="AL226" t="s">
        <v>40</v>
      </c>
      <c r="AM226" t="s">
        <v>40</v>
      </c>
    </row>
    <row r="227" spans="1:39" x14ac:dyDescent="0.2">
      <c r="A227" s="4" t="s">
        <v>851</v>
      </c>
      <c r="B227" s="4" t="s">
        <v>852</v>
      </c>
      <c r="C227" s="4" t="s">
        <v>1772</v>
      </c>
      <c r="D227" s="4" t="s">
        <v>51</v>
      </c>
      <c r="E227" s="4" t="s">
        <v>51</v>
      </c>
      <c r="F227" t="s">
        <v>40</v>
      </c>
      <c r="G227" t="s">
        <v>851</v>
      </c>
      <c r="H227" t="s">
        <v>40</v>
      </c>
      <c r="I227" t="s">
        <v>40</v>
      </c>
      <c r="J227" t="s">
        <v>40</v>
      </c>
      <c r="K227" t="s">
        <v>40</v>
      </c>
      <c r="L227" t="s">
        <v>40</v>
      </c>
      <c r="M227">
        <v>-320.81</v>
      </c>
      <c r="N227">
        <v>100</v>
      </c>
      <c r="O227">
        <v>1</v>
      </c>
      <c r="P227">
        <v>0</v>
      </c>
      <c r="Q227" t="s">
        <v>77</v>
      </c>
      <c r="R227" t="b">
        <v>0</v>
      </c>
      <c r="S227" t="s">
        <v>40</v>
      </c>
      <c r="T227">
        <v>45309</v>
      </c>
      <c r="U227" t="s">
        <v>229</v>
      </c>
      <c r="V227" s="2">
        <v>45000.376608796418</v>
      </c>
      <c r="W227" t="s">
        <v>853</v>
      </c>
      <c r="X227">
        <v>0</v>
      </c>
      <c r="Y227" t="s">
        <v>40</v>
      </c>
      <c r="Z227" t="s">
        <v>40</v>
      </c>
      <c r="AA227" t="s">
        <v>40</v>
      </c>
      <c r="AB227">
        <v>2</v>
      </c>
      <c r="AC227" t="s">
        <v>49</v>
      </c>
      <c r="AD227" t="s">
        <v>40</v>
      </c>
      <c r="AE227" t="s">
        <v>40</v>
      </c>
      <c r="AF227" t="s">
        <v>852</v>
      </c>
      <c r="AG227" t="s">
        <v>40</v>
      </c>
      <c r="AH227" t="s">
        <v>854</v>
      </c>
      <c r="AI227" t="s">
        <v>855</v>
      </c>
      <c r="AJ227" t="s">
        <v>46</v>
      </c>
      <c r="AK227" t="s">
        <v>419</v>
      </c>
      <c r="AL227" t="s">
        <v>420</v>
      </c>
      <c r="AM227" t="s">
        <v>421</v>
      </c>
    </row>
    <row r="228" spans="1:39" x14ac:dyDescent="0.2">
      <c r="A228" s="4" t="s">
        <v>856</v>
      </c>
      <c r="B228" s="4" t="s">
        <v>857</v>
      </c>
      <c r="C228" s="4" t="s">
        <v>40</v>
      </c>
      <c r="D228" s="4" t="s">
        <v>40</v>
      </c>
      <c r="E228" s="4" t="s">
        <v>40</v>
      </c>
      <c r="F228" t="s">
        <v>40</v>
      </c>
      <c r="G228" t="s">
        <v>856</v>
      </c>
      <c r="H228" t="s">
        <v>40</v>
      </c>
      <c r="I228" t="s">
        <v>40</v>
      </c>
      <c r="J228" t="s">
        <v>40</v>
      </c>
      <c r="K228" t="s">
        <v>40</v>
      </c>
      <c r="L228" t="s">
        <v>40</v>
      </c>
      <c r="M228">
        <v>9.6</v>
      </c>
      <c r="N228">
        <v>400</v>
      </c>
      <c r="O228">
        <v>2</v>
      </c>
      <c r="P228">
        <v>30</v>
      </c>
      <c r="Q228" t="s">
        <v>77</v>
      </c>
      <c r="R228" t="b">
        <v>0</v>
      </c>
      <c r="S228" t="s">
        <v>40</v>
      </c>
      <c r="T228" t="s">
        <v>49</v>
      </c>
      <c r="U228" t="s">
        <v>229</v>
      </c>
      <c r="V228" s="2">
        <v>45000.396701388992</v>
      </c>
      <c r="W228" t="s">
        <v>40</v>
      </c>
      <c r="X228">
        <v>0</v>
      </c>
      <c r="Y228" t="s">
        <v>40</v>
      </c>
      <c r="Z228" t="s">
        <v>40</v>
      </c>
      <c r="AA228" t="s">
        <v>40</v>
      </c>
      <c r="AB228">
        <v>1</v>
      </c>
      <c r="AC228" t="s">
        <v>49</v>
      </c>
      <c r="AD228" t="s">
        <v>40</v>
      </c>
      <c r="AE228" t="s">
        <v>40</v>
      </c>
      <c r="AF228" t="s">
        <v>40</v>
      </c>
      <c r="AG228" t="s">
        <v>40</v>
      </c>
      <c r="AH228" t="s">
        <v>40</v>
      </c>
      <c r="AI228" t="s">
        <v>40</v>
      </c>
      <c r="AJ228" t="s">
        <v>40</v>
      </c>
      <c r="AK228" t="s">
        <v>40</v>
      </c>
      <c r="AL228" t="s">
        <v>40</v>
      </c>
      <c r="AM228" t="s">
        <v>40</v>
      </c>
    </row>
    <row r="229" spans="1:39" x14ac:dyDescent="0.2">
      <c r="A229" s="4" t="s">
        <v>858</v>
      </c>
      <c r="B229" s="4" t="s">
        <v>859</v>
      </c>
      <c r="C229" s="4" t="s">
        <v>40</v>
      </c>
      <c r="D229" s="4" t="s">
        <v>40</v>
      </c>
      <c r="E229" s="4" t="s">
        <v>40</v>
      </c>
      <c r="F229" t="s">
        <v>40</v>
      </c>
      <c r="G229" t="s">
        <v>858</v>
      </c>
      <c r="H229" t="s">
        <v>40</v>
      </c>
      <c r="I229" t="s">
        <v>40</v>
      </c>
      <c r="J229" t="s">
        <v>40</v>
      </c>
      <c r="K229" t="s">
        <v>40</v>
      </c>
      <c r="L229" t="s">
        <v>40</v>
      </c>
      <c r="M229">
        <v>23.5</v>
      </c>
      <c r="N229">
        <v>200</v>
      </c>
      <c r="O229">
        <v>2</v>
      </c>
      <c r="P229">
        <v>30</v>
      </c>
      <c r="Q229" t="s">
        <v>77</v>
      </c>
      <c r="R229" t="b">
        <v>0</v>
      </c>
      <c r="S229" t="s">
        <v>40</v>
      </c>
      <c r="T229" s="1" t="s">
        <v>49</v>
      </c>
      <c r="U229" t="s">
        <v>229</v>
      </c>
      <c r="V229" s="2">
        <v>45000.399062488228</v>
      </c>
      <c r="W229" t="s">
        <v>40</v>
      </c>
      <c r="X229">
        <v>0</v>
      </c>
      <c r="Y229" t="s">
        <v>40</v>
      </c>
      <c r="Z229" t="s">
        <v>40</v>
      </c>
      <c r="AA229" t="s">
        <v>40</v>
      </c>
      <c r="AB229">
        <v>0</v>
      </c>
      <c r="AC229" t="s">
        <v>49</v>
      </c>
      <c r="AD229" t="s">
        <v>40</v>
      </c>
      <c r="AE229" t="s">
        <v>40</v>
      </c>
      <c r="AF229" t="s">
        <v>40</v>
      </c>
      <c r="AG229" t="s">
        <v>40</v>
      </c>
      <c r="AH229" t="s">
        <v>40</v>
      </c>
      <c r="AI229" t="s">
        <v>40</v>
      </c>
      <c r="AJ229" t="s">
        <v>40</v>
      </c>
      <c r="AK229" t="s">
        <v>40</v>
      </c>
      <c r="AL229" t="s">
        <v>40</v>
      </c>
      <c r="AM229" t="s">
        <v>40</v>
      </c>
    </row>
    <row r="230" spans="1:39" x14ac:dyDescent="0.2">
      <c r="A230" s="4" t="s">
        <v>860</v>
      </c>
      <c r="B230" s="4" t="s">
        <v>861</v>
      </c>
      <c r="C230" s="4" t="s">
        <v>40</v>
      </c>
      <c r="D230" s="4" t="s">
        <v>40</v>
      </c>
      <c r="E230" s="4" t="s">
        <v>40</v>
      </c>
      <c r="F230" t="s">
        <v>40</v>
      </c>
      <c r="G230" t="s">
        <v>860</v>
      </c>
      <c r="H230" t="s">
        <v>40</v>
      </c>
      <c r="I230" t="s">
        <v>40</v>
      </c>
      <c r="J230" t="s">
        <v>40</v>
      </c>
      <c r="K230" t="s">
        <v>40</v>
      </c>
      <c r="L230" t="s">
        <v>40</v>
      </c>
      <c r="M230">
        <v>56.35</v>
      </c>
      <c r="N230">
        <v>100</v>
      </c>
      <c r="O230">
        <v>2</v>
      </c>
      <c r="P230">
        <v>30</v>
      </c>
      <c r="Q230" t="s">
        <v>77</v>
      </c>
      <c r="R230" t="b">
        <v>0</v>
      </c>
      <c r="S230" t="s">
        <v>40</v>
      </c>
      <c r="T230">
        <v>45077</v>
      </c>
      <c r="U230" t="s">
        <v>229</v>
      </c>
      <c r="V230" s="2">
        <v>45000.425474537071</v>
      </c>
      <c r="W230" t="s">
        <v>40</v>
      </c>
      <c r="X230">
        <v>0</v>
      </c>
      <c r="Y230" t="s">
        <v>40</v>
      </c>
      <c r="Z230" t="s">
        <v>40</v>
      </c>
      <c r="AA230" t="s">
        <v>40</v>
      </c>
      <c r="AB230">
        <v>1</v>
      </c>
      <c r="AC230" t="s">
        <v>49</v>
      </c>
      <c r="AD230" t="s">
        <v>40</v>
      </c>
      <c r="AE230" t="s">
        <v>40</v>
      </c>
      <c r="AF230" t="s">
        <v>40</v>
      </c>
      <c r="AG230" t="s">
        <v>40</v>
      </c>
      <c r="AH230" t="s">
        <v>40</v>
      </c>
      <c r="AI230" t="s">
        <v>40</v>
      </c>
      <c r="AJ230" t="s">
        <v>40</v>
      </c>
      <c r="AK230" t="s">
        <v>40</v>
      </c>
      <c r="AL230" t="s">
        <v>40</v>
      </c>
      <c r="AM230" t="s">
        <v>40</v>
      </c>
    </row>
    <row r="231" spans="1:39" x14ac:dyDescent="0.2">
      <c r="A231" s="4" t="s">
        <v>862</v>
      </c>
      <c r="B231" s="4" t="s">
        <v>1622</v>
      </c>
      <c r="C231" s="4" t="s">
        <v>863</v>
      </c>
      <c r="D231" s="4" t="s">
        <v>863</v>
      </c>
      <c r="E231" s="4" t="s">
        <v>863</v>
      </c>
      <c r="F231" t="s">
        <v>864</v>
      </c>
      <c r="G231" t="s">
        <v>865</v>
      </c>
      <c r="H231" t="s">
        <v>866</v>
      </c>
      <c r="I231" t="s">
        <v>40</v>
      </c>
      <c r="J231" t="s">
        <v>40</v>
      </c>
      <c r="K231" t="s">
        <v>40</v>
      </c>
      <c r="L231" t="s">
        <v>40</v>
      </c>
      <c r="M231">
        <v>0</v>
      </c>
      <c r="N231">
        <v>200</v>
      </c>
      <c r="O231">
        <v>1</v>
      </c>
      <c r="P231">
        <v>0</v>
      </c>
      <c r="Q231" t="s">
        <v>77</v>
      </c>
      <c r="R231" t="b">
        <v>0</v>
      </c>
      <c r="S231" t="s">
        <v>40</v>
      </c>
      <c r="T231" s="1" t="s">
        <v>49</v>
      </c>
      <c r="U231" t="s">
        <v>229</v>
      </c>
      <c r="V231" s="2">
        <v>45001.459050914273</v>
      </c>
      <c r="W231" t="s">
        <v>40</v>
      </c>
      <c r="X231">
        <v>0</v>
      </c>
      <c r="Y231" t="s">
        <v>40</v>
      </c>
      <c r="Z231" t="s">
        <v>40</v>
      </c>
      <c r="AA231" t="s">
        <v>40</v>
      </c>
      <c r="AB231">
        <v>2</v>
      </c>
      <c r="AC231" t="s">
        <v>49</v>
      </c>
      <c r="AD231" t="s">
        <v>40</v>
      </c>
      <c r="AE231" t="s">
        <v>40</v>
      </c>
      <c r="AF231" t="s">
        <v>40</v>
      </c>
      <c r="AG231" t="s">
        <v>40</v>
      </c>
      <c r="AH231" t="s">
        <v>40</v>
      </c>
      <c r="AI231" t="s">
        <v>40</v>
      </c>
      <c r="AJ231" t="s">
        <v>40</v>
      </c>
      <c r="AK231" t="s">
        <v>40</v>
      </c>
      <c r="AL231" t="s">
        <v>40</v>
      </c>
      <c r="AM231" t="s">
        <v>40</v>
      </c>
    </row>
    <row r="232" spans="1:39" x14ac:dyDescent="0.2">
      <c r="A232" s="4" t="s">
        <v>867</v>
      </c>
      <c r="B232" s="4" t="s">
        <v>868</v>
      </c>
      <c r="C232" s="4" t="s">
        <v>40</v>
      </c>
      <c r="D232" s="4" t="s">
        <v>40</v>
      </c>
      <c r="E232" s="4" t="s">
        <v>40</v>
      </c>
      <c r="F232" t="s">
        <v>40</v>
      </c>
      <c r="G232" t="s">
        <v>869</v>
      </c>
      <c r="H232" t="s">
        <v>870</v>
      </c>
      <c r="I232" t="s">
        <v>40</v>
      </c>
      <c r="J232" t="s">
        <v>40</v>
      </c>
      <c r="K232" t="s">
        <v>40</v>
      </c>
      <c r="L232" t="s">
        <v>40</v>
      </c>
      <c r="M232">
        <v>44.1</v>
      </c>
      <c r="N232">
        <v>200</v>
      </c>
      <c r="O232">
        <v>1</v>
      </c>
      <c r="P232">
        <v>0</v>
      </c>
      <c r="Q232" t="s">
        <v>77</v>
      </c>
      <c r="R232" t="b">
        <v>0</v>
      </c>
      <c r="S232" t="s">
        <v>40</v>
      </c>
      <c r="T232" t="s">
        <v>49</v>
      </c>
      <c r="U232" t="s">
        <v>229</v>
      </c>
      <c r="V232" s="2">
        <v>45001.482488414273</v>
      </c>
      <c r="W232" t="s">
        <v>40</v>
      </c>
      <c r="X232">
        <v>0</v>
      </c>
      <c r="Y232" t="s">
        <v>40</v>
      </c>
      <c r="Z232" t="s">
        <v>40</v>
      </c>
      <c r="AA232" t="s">
        <v>40</v>
      </c>
      <c r="AB232">
        <v>1</v>
      </c>
      <c r="AC232" t="s">
        <v>49</v>
      </c>
      <c r="AD232" t="s">
        <v>40</v>
      </c>
      <c r="AE232" t="s">
        <v>40</v>
      </c>
      <c r="AF232" t="s">
        <v>40</v>
      </c>
      <c r="AG232" t="s">
        <v>40</v>
      </c>
      <c r="AH232" t="s">
        <v>40</v>
      </c>
      <c r="AI232" t="s">
        <v>40</v>
      </c>
      <c r="AJ232" t="s">
        <v>40</v>
      </c>
      <c r="AK232" t="s">
        <v>40</v>
      </c>
      <c r="AL232" t="s">
        <v>40</v>
      </c>
      <c r="AM232" t="s">
        <v>40</v>
      </c>
    </row>
    <row r="233" spans="1:39" x14ac:dyDescent="0.2">
      <c r="A233" s="4" t="s">
        <v>871</v>
      </c>
      <c r="B233" s="4" t="s">
        <v>872</v>
      </c>
      <c r="C233" s="4" t="s">
        <v>40</v>
      </c>
      <c r="D233" s="4" t="s">
        <v>40</v>
      </c>
      <c r="E233" s="4" t="s">
        <v>40</v>
      </c>
      <c r="F233" t="s">
        <v>40</v>
      </c>
      <c r="G233" t="s">
        <v>871</v>
      </c>
      <c r="H233" t="s">
        <v>40</v>
      </c>
      <c r="I233" t="s">
        <v>40</v>
      </c>
      <c r="J233" t="s">
        <v>40</v>
      </c>
      <c r="K233" t="s">
        <v>40</v>
      </c>
      <c r="L233" t="s">
        <v>40</v>
      </c>
      <c r="M233">
        <v>34.1</v>
      </c>
      <c r="N233">
        <v>200</v>
      </c>
      <c r="O233">
        <v>2</v>
      </c>
      <c r="P233">
        <v>30</v>
      </c>
      <c r="Q233" t="s">
        <v>77</v>
      </c>
      <c r="R233" t="b">
        <v>0</v>
      </c>
      <c r="S233" t="s">
        <v>40</v>
      </c>
      <c r="T233">
        <v>45194</v>
      </c>
      <c r="U233" t="s">
        <v>229</v>
      </c>
      <c r="V233" s="2">
        <v>45002.460069444496</v>
      </c>
      <c r="W233" t="s">
        <v>40</v>
      </c>
      <c r="X233">
        <v>0</v>
      </c>
      <c r="Y233" t="s">
        <v>40</v>
      </c>
      <c r="Z233" t="s">
        <v>40</v>
      </c>
      <c r="AA233" t="s">
        <v>40</v>
      </c>
      <c r="AB233">
        <v>1</v>
      </c>
      <c r="AC233" t="s">
        <v>49</v>
      </c>
      <c r="AD233" t="s">
        <v>40</v>
      </c>
      <c r="AE233" t="s">
        <v>40</v>
      </c>
      <c r="AF233" t="s">
        <v>40</v>
      </c>
      <c r="AG233" t="s">
        <v>40</v>
      </c>
      <c r="AH233" t="s">
        <v>40</v>
      </c>
      <c r="AI233" t="s">
        <v>40</v>
      </c>
      <c r="AJ233" t="s">
        <v>40</v>
      </c>
      <c r="AK233" t="s">
        <v>40</v>
      </c>
      <c r="AL233" t="s">
        <v>40</v>
      </c>
      <c r="AM233" t="s">
        <v>40</v>
      </c>
    </row>
    <row r="234" spans="1:39" x14ac:dyDescent="0.2">
      <c r="A234" s="4" t="s">
        <v>873</v>
      </c>
      <c r="B234" s="4" t="s">
        <v>874</v>
      </c>
      <c r="C234" s="4" t="s">
        <v>40</v>
      </c>
      <c r="D234" s="4" t="s">
        <v>40</v>
      </c>
      <c r="E234" s="4" t="s">
        <v>40</v>
      </c>
      <c r="F234" t="s">
        <v>40</v>
      </c>
      <c r="G234" t="s">
        <v>875</v>
      </c>
      <c r="H234" t="s">
        <v>876</v>
      </c>
      <c r="I234" t="s">
        <v>40</v>
      </c>
      <c r="J234" t="s">
        <v>40</v>
      </c>
      <c r="K234" t="s">
        <v>40</v>
      </c>
      <c r="L234" t="s">
        <v>40</v>
      </c>
      <c r="M234">
        <v>0</v>
      </c>
      <c r="N234">
        <v>200</v>
      </c>
      <c r="O234">
        <v>1</v>
      </c>
      <c r="P234">
        <v>0</v>
      </c>
      <c r="Q234" t="s">
        <v>77</v>
      </c>
      <c r="R234" t="b">
        <v>0</v>
      </c>
      <c r="S234" t="s">
        <v>40</v>
      </c>
      <c r="T234" t="s">
        <v>49</v>
      </c>
      <c r="U234" t="s">
        <v>229</v>
      </c>
      <c r="V234" s="2">
        <v>45002.595219895709</v>
      </c>
      <c r="W234" t="s">
        <v>40</v>
      </c>
      <c r="X234">
        <v>0</v>
      </c>
      <c r="Y234" t="s">
        <v>40</v>
      </c>
      <c r="Z234" t="s">
        <v>40</v>
      </c>
      <c r="AA234" t="s">
        <v>40</v>
      </c>
      <c r="AB234">
        <v>2</v>
      </c>
      <c r="AC234" t="s">
        <v>49</v>
      </c>
      <c r="AD234" t="s">
        <v>40</v>
      </c>
      <c r="AE234" t="s">
        <v>40</v>
      </c>
      <c r="AF234" t="s">
        <v>40</v>
      </c>
      <c r="AG234" t="s">
        <v>40</v>
      </c>
      <c r="AH234" t="s">
        <v>40</v>
      </c>
      <c r="AI234" t="s">
        <v>40</v>
      </c>
      <c r="AJ234" t="s">
        <v>40</v>
      </c>
      <c r="AK234" t="s">
        <v>40</v>
      </c>
      <c r="AL234" t="s">
        <v>40</v>
      </c>
      <c r="AM234" t="s">
        <v>40</v>
      </c>
    </row>
    <row r="235" spans="1:39" x14ac:dyDescent="0.2">
      <c r="A235" s="4" t="s">
        <v>877</v>
      </c>
      <c r="B235" s="4" t="s">
        <v>878</v>
      </c>
      <c r="C235" s="4" t="s">
        <v>40</v>
      </c>
      <c r="D235" s="4" t="s">
        <v>40</v>
      </c>
      <c r="E235" s="4" t="s">
        <v>40</v>
      </c>
      <c r="F235" t="s">
        <v>40</v>
      </c>
      <c r="G235" t="s">
        <v>877</v>
      </c>
      <c r="H235" t="s">
        <v>40</v>
      </c>
      <c r="I235" t="s">
        <v>40</v>
      </c>
      <c r="J235" t="s">
        <v>40</v>
      </c>
      <c r="K235" t="s">
        <v>40</v>
      </c>
      <c r="L235" t="s">
        <v>40</v>
      </c>
      <c r="M235">
        <v>4.9000000000000004</v>
      </c>
      <c r="N235">
        <v>200</v>
      </c>
      <c r="O235">
        <v>2</v>
      </c>
      <c r="P235">
        <v>30</v>
      </c>
      <c r="Q235" t="s">
        <v>77</v>
      </c>
      <c r="R235" t="b">
        <v>0</v>
      </c>
      <c r="S235" t="s">
        <v>40</v>
      </c>
      <c r="T235" t="s">
        <v>49</v>
      </c>
      <c r="U235" t="s">
        <v>229</v>
      </c>
      <c r="V235" s="2">
        <v>45002.607233784627</v>
      </c>
      <c r="W235" t="s">
        <v>40</v>
      </c>
      <c r="X235">
        <v>0</v>
      </c>
      <c r="Y235" t="s">
        <v>40</v>
      </c>
      <c r="Z235" t="s">
        <v>40</v>
      </c>
      <c r="AA235" t="s">
        <v>40</v>
      </c>
      <c r="AB235">
        <v>1</v>
      </c>
      <c r="AC235" t="s">
        <v>49</v>
      </c>
      <c r="AD235" t="s">
        <v>40</v>
      </c>
      <c r="AE235" t="s">
        <v>40</v>
      </c>
      <c r="AF235" t="s">
        <v>40</v>
      </c>
      <c r="AG235" t="s">
        <v>40</v>
      </c>
      <c r="AH235" t="s">
        <v>40</v>
      </c>
      <c r="AI235" t="s">
        <v>40</v>
      </c>
      <c r="AJ235" t="s">
        <v>40</v>
      </c>
      <c r="AK235" t="s">
        <v>40</v>
      </c>
      <c r="AL235" t="s">
        <v>40</v>
      </c>
      <c r="AM235" t="s">
        <v>40</v>
      </c>
    </row>
    <row r="236" spans="1:39" x14ac:dyDescent="0.2">
      <c r="A236" s="4" t="s">
        <v>879</v>
      </c>
      <c r="B236" s="4" t="s">
        <v>1623</v>
      </c>
      <c r="C236" s="4" t="s">
        <v>40</v>
      </c>
      <c r="D236" s="4" t="s">
        <v>40</v>
      </c>
      <c r="E236" s="4" t="s">
        <v>40</v>
      </c>
      <c r="F236" t="s">
        <v>880</v>
      </c>
      <c r="G236" t="s">
        <v>881</v>
      </c>
      <c r="H236" t="s">
        <v>596</v>
      </c>
      <c r="I236" t="s">
        <v>40</v>
      </c>
      <c r="J236" t="s">
        <v>40</v>
      </c>
      <c r="K236" t="s">
        <v>40</v>
      </c>
      <c r="L236" t="s">
        <v>40</v>
      </c>
      <c r="M236">
        <v>0</v>
      </c>
      <c r="N236">
        <v>200</v>
      </c>
      <c r="O236">
        <v>1</v>
      </c>
      <c r="P236">
        <v>0</v>
      </c>
      <c r="Q236" t="s">
        <v>77</v>
      </c>
      <c r="R236" t="b">
        <v>0</v>
      </c>
      <c r="S236" t="s">
        <v>40</v>
      </c>
      <c r="T236" s="1">
        <v>45059</v>
      </c>
      <c r="U236" t="s">
        <v>229</v>
      </c>
      <c r="V236" s="2">
        <v>45033.47430555569</v>
      </c>
      <c r="W236" t="s">
        <v>40</v>
      </c>
      <c r="X236">
        <v>0</v>
      </c>
      <c r="Y236" t="s">
        <v>40</v>
      </c>
      <c r="Z236" t="s">
        <v>40</v>
      </c>
      <c r="AA236" t="s">
        <v>40</v>
      </c>
      <c r="AB236">
        <v>2</v>
      </c>
      <c r="AC236" t="s">
        <v>49</v>
      </c>
      <c r="AD236" t="s">
        <v>40</v>
      </c>
      <c r="AE236" t="s">
        <v>40</v>
      </c>
      <c r="AF236" t="s">
        <v>40</v>
      </c>
      <c r="AG236" t="s">
        <v>40</v>
      </c>
      <c r="AH236" t="s">
        <v>40</v>
      </c>
      <c r="AI236" t="s">
        <v>40</v>
      </c>
      <c r="AJ236" t="s">
        <v>40</v>
      </c>
      <c r="AK236" t="s">
        <v>40</v>
      </c>
      <c r="AL236" t="s">
        <v>40</v>
      </c>
      <c r="AM236" t="s">
        <v>40</v>
      </c>
    </row>
    <row r="237" spans="1:39" x14ac:dyDescent="0.2">
      <c r="A237" s="4" t="s">
        <v>882</v>
      </c>
      <c r="B237" s="4" t="s">
        <v>883</v>
      </c>
      <c r="C237" s="4" t="s">
        <v>40</v>
      </c>
      <c r="D237" s="4" t="s">
        <v>40</v>
      </c>
      <c r="E237" s="4" t="s">
        <v>40</v>
      </c>
      <c r="F237" t="s">
        <v>40</v>
      </c>
      <c r="G237" t="s">
        <v>882</v>
      </c>
      <c r="H237" t="s">
        <v>40</v>
      </c>
      <c r="I237" t="s">
        <v>40</v>
      </c>
      <c r="J237" t="s">
        <v>40</v>
      </c>
      <c r="K237" t="s">
        <v>40</v>
      </c>
      <c r="L237" t="s">
        <v>40</v>
      </c>
      <c r="M237">
        <v>9.8000000000000007</v>
      </c>
      <c r="N237">
        <v>200</v>
      </c>
      <c r="O237">
        <v>1</v>
      </c>
      <c r="P237">
        <v>0</v>
      </c>
      <c r="Q237" t="s">
        <v>77</v>
      </c>
      <c r="R237" t="b">
        <v>0</v>
      </c>
      <c r="S237" t="s">
        <v>40</v>
      </c>
      <c r="T237" s="1" t="s">
        <v>49</v>
      </c>
      <c r="U237" t="s">
        <v>229</v>
      </c>
      <c r="V237" s="2">
        <v>45033.492870370392</v>
      </c>
      <c r="W237" t="s">
        <v>40</v>
      </c>
      <c r="X237">
        <v>0</v>
      </c>
      <c r="Y237" t="s">
        <v>40</v>
      </c>
      <c r="Z237" t="s">
        <v>40</v>
      </c>
      <c r="AA237" t="s">
        <v>40</v>
      </c>
      <c r="AB237">
        <v>1</v>
      </c>
      <c r="AC237" t="s">
        <v>49</v>
      </c>
      <c r="AD237" t="s">
        <v>40</v>
      </c>
      <c r="AE237" t="s">
        <v>40</v>
      </c>
      <c r="AF237" t="s">
        <v>40</v>
      </c>
      <c r="AG237" t="s">
        <v>40</v>
      </c>
      <c r="AH237" t="s">
        <v>40</v>
      </c>
      <c r="AI237" t="s">
        <v>40</v>
      </c>
      <c r="AJ237" t="s">
        <v>40</v>
      </c>
      <c r="AK237" t="s">
        <v>40</v>
      </c>
      <c r="AL237" t="s">
        <v>40</v>
      </c>
      <c r="AM237" t="s">
        <v>40</v>
      </c>
    </row>
    <row r="238" spans="1:39" x14ac:dyDescent="0.2">
      <c r="A238" s="4" t="s">
        <v>884</v>
      </c>
      <c r="B238" s="4" t="s">
        <v>885</v>
      </c>
      <c r="C238" s="4" t="s">
        <v>40</v>
      </c>
      <c r="D238" s="4" t="s">
        <v>40</v>
      </c>
      <c r="E238" s="4" t="s">
        <v>40</v>
      </c>
      <c r="F238" t="s">
        <v>40</v>
      </c>
      <c r="G238" t="s">
        <v>884</v>
      </c>
      <c r="H238" t="s">
        <v>40</v>
      </c>
      <c r="I238" t="s">
        <v>40</v>
      </c>
      <c r="J238" t="s">
        <v>40</v>
      </c>
      <c r="K238" t="s">
        <v>40</v>
      </c>
      <c r="L238" t="s">
        <v>40</v>
      </c>
      <c r="M238">
        <v>122.5</v>
      </c>
      <c r="N238">
        <v>200</v>
      </c>
      <c r="O238">
        <v>1</v>
      </c>
      <c r="P238">
        <v>0</v>
      </c>
      <c r="Q238" t="s">
        <v>77</v>
      </c>
      <c r="R238" t="b">
        <v>0</v>
      </c>
      <c r="S238" t="s">
        <v>40</v>
      </c>
      <c r="T238" t="s">
        <v>49</v>
      </c>
      <c r="U238" t="s">
        <v>229</v>
      </c>
      <c r="V238" s="2">
        <v>45033.567986111157</v>
      </c>
      <c r="W238" t="s">
        <v>40</v>
      </c>
      <c r="X238">
        <v>0</v>
      </c>
      <c r="Y238" t="s">
        <v>40</v>
      </c>
      <c r="Z238" t="s">
        <v>40</v>
      </c>
      <c r="AA238" t="s">
        <v>40</v>
      </c>
      <c r="AB238">
        <v>1</v>
      </c>
      <c r="AC238" t="s">
        <v>49</v>
      </c>
      <c r="AD238" t="s">
        <v>40</v>
      </c>
      <c r="AE238" t="s">
        <v>40</v>
      </c>
      <c r="AF238" t="s">
        <v>40</v>
      </c>
      <c r="AG238" t="s">
        <v>40</v>
      </c>
      <c r="AH238" t="s">
        <v>40</v>
      </c>
      <c r="AI238" t="s">
        <v>40</v>
      </c>
      <c r="AJ238" t="s">
        <v>40</v>
      </c>
      <c r="AK238" t="s">
        <v>40</v>
      </c>
      <c r="AL238" t="s">
        <v>40</v>
      </c>
      <c r="AM238" t="s">
        <v>40</v>
      </c>
    </row>
    <row r="239" spans="1:39" x14ac:dyDescent="0.2">
      <c r="A239" s="4" t="s">
        <v>886</v>
      </c>
      <c r="B239" s="4" t="s">
        <v>887</v>
      </c>
      <c r="C239" s="4" t="s">
        <v>40</v>
      </c>
      <c r="D239" s="4" t="s">
        <v>40</v>
      </c>
      <c r="E239" s="4" t="s">
        <v>40</v>
      </c>
      <c r="F239" t="s">
        <v>40</v>
      </c>
      <c r="G239" t="s">
        <v>886</v>
      </c>
      <c r="H239" t="s">
        <v>40</v>
      </c>
      <c r="I239" t="s">
        <v>40</v>
      </c>
      <c r="J239" t="s">
        <v>40</v>
      </c>
      <c r="K239" t="s">
        <v>40</v>
      </c>
      <c r="L239" t="s">
        <v>40</v>
      </c>
      <c r="M239">
        <v>0</v>
      </c>
      <c r="N239">
        <v>200</v>
      </c>
      <c r="O239">
        <v>1</v>
      </c>
      <c r="P239">
        <v>0</v>
      </c>
      <c r="Q239" t="s">
        <v>77</v>
      </c>
      <c r="R239" t="b">
        <v>0</v>
      </c>
      <c r="S239" t="s">
        <v>40</v>
      </c>
      <c r="T239">
        <v>45187</v>
      </c>
      <c r="U239" t="s">
        <v>229</v>
      </c>
      <c r="V239" s="2">
        <v>45034.543402777985</v>
      </c>
      <c r="W239" t="s">
        <v>40</v>
      </c>
      <c r="X239">
        <v>0</v>
      </c>
      <c r="Y239" t="s">
        <v>40</v>
      </c>
      <c r="Z239" t="s">
        <v>40</v>
      </c>
      <c r="AA239" t="s">
        <v>40</v>
      </c>
      <c r="AB239">
        <v>0</v>
      </c>
      <c r="AC239" t="s">
        <v>49</v>
      </c>
      <c r="AD239" t="s">
        <v>40</v>
      </c>
      <c r="AE239" t="s">
        <v>40</v>
      </c>
      <c r="AF239" t="s">
        <v>40</v>
      </c>
      <c r="AG239" t="s">
        <v>40</v>
      </c>
      <c r="AH239" t="s">
        <v>40</v>
      </c>
      <c r="AI239" t="s">
        <v>40</v>
      </c>
      <c r="AJ239" t="s">
        <v>40</v>
      </c>
      <c r="AK239" t="s">
        <v>40</v>
      </c>
      <c r="AL239" t="s">
        <v>40</v>
      </c>
      <c r="AM239" t="s">
        <v>40</v>
      </c>
    </row>
    <row r="240" spans="1:39" x14ac:dyDescent="0.2">
      <c r="A240" s="4" t="s">
        <v>888</v>
      </c>
      <c r="B240" s="4" t="s">
        <v>889</v>
      </c>
      <c r="C240" s="4" t="s">
        <v>40</v>
      </c>
      <c r="D240" s="4" t="s">
        <v>40</v>
      </c>
      <c r="E240" s="4" t="s">
        <v>40</v>
      </c>
      <c r="F240" t="s">
        <v>40</v>
      </c>
      <c r="G240" t="s">
        <v>888</v>
      </c>
      <c r="H240" t="s">
        <v>40</v>
      </c>
      <c r="I240" t="s">
        <v>40</v>
      </c>
      <c r="J240" t="s">
        <v>40</v>
      </c>
      <c r="K240" t="s">
        <v>40</v>
      </c>
      <c r="L240" t="s">
        <v>40</v>
      </c>
      <c r="M240">
        <v>0</v>
      </c>
      <c r="N240">
        <v>200</v>
      </c>
      <c r="O240">
        <v>1</v>
      </c>
      <c r="P240">
        <v>0</v>
      </c>
      <c r="Q240" t="s">
        <v>77</v>
      </c>
      <c r="R240" t="b">
        <v>0</v>
      </c>
      <c r="S240" t="s">
        <v>40</v>
      </c>
      <c r="T240">
        <v>44996</v>
      </c>
      <c r="U240" t="s">
        <v>229</v>
      </c>
      <c r="V240" s="2">
        <v>45034.543738414533</v>
      </c>
      <c r="W240" t="s">
        <v>40</v>
      </c>
      <c r="X240">
        <v>0</v>
      </c>
      <c r="Y240" t="s">
        <v>40</v>
      </c>
      <c r="Z240" t="s">
        <v>40</v>
      </c>
      <c r="AA240" t="s">
        <v>40</v>
      </c>
      <c r="AB240">
        <v>0</v>
      </c>
      <c r="AC240" t="s">
        <v>49</v>
      </c>
      <c r="AD240" t="s">
        <v>40</v>
      </c>
      <c r="AE240" t="s">
        <v>40</v>
      </c>
      <c r="AF240" t="s">
        <v>40</v>
      </c>
      <c r="AG240" t="s">
        <v>40</v>
      </c>
      <c r="AH240" t="s">
        <v>40</v>
      </c>
      <c r="AI240" t="s">
        <v>40</v>
      </c>
      <c r="AJ240" t="s">
        <v>40</v>
      </c>
      <c r="AK240" t="s">
        <v>40</v>
      </c>
      <c r="AL240" t="s">
        <v>40</v>
      </c>
      <c r="AM240" t="s">
        <v>40</v>
      </c>
    </row>
    <row r="241" spans="1:39" x14ac:dyDescent="0.2">
      <c r="A241" s="4" t="s">
        <v>890</v>
      </c>
      <c r="B241" s="4" t="s">
        <v>891</v>
      </c>
      <c r="C241" s="4" t="s">
        <v>40</v>
      </c>
      <c r="D241" s="4" t="s">
        <v>40</v>
      </c>
      <c r="E241" s="4" t="s">
        <v>40</v>
      </c>
      <c r="F241" t="s">
        <v>40</v>
      </c>
      <c r="G241" t="s">
        <v>890</v>
      </c>
      <c r="H241" t="s">
        <v>40</v>
      </c>
      <c r="I241" t="s">
        <v>40</v>
      </c>
      <c r="J241" t="s">
        <v>40</v>
      </c>
      <c r="K241" t="s">
        <v>40</v>
      </c>
      <c r="L241" t="s">
        <v>40</v>
      </c>
      <c r="M241">
        <v>7.15</v>
      </c>
      <c r="N241">
        <v>200</v>
      </c>
      <c r="O241">
        <v>1</v>
      </c>
      <c r="P241">
        <v>0</v>
      </c>
      <c r="Q241" t="s">
        <v>77</v>
      </c>
      <c r="R241" t="b">
        <v>0</v>
      </c>
      <c r="S241" t="s">
        <v>40</v>
      </c>
      <c r="T241">
        <v>45020</v>
      </c>
      <c r="U241" t="s">
        <v>229</v>
      </c>
      <c r="V241" s="2">
        <v>45034.68734952528</v>
      </c>
      <c r="W241" t="s">
        <v>40</v>
      </c>
      <c r="X241">
        <v>0</v>
      </c>
      <c r="Y241" t="s">
        <v>40</v>
      </c>
      <c r="Z241" t="s">
        <v>40</v>
      </c>
      <c r="AA241" t="s">
        <v>40</v>
      </c>
      <c r="AB241">
        <v>0</v>
      </c>
      <c r="AC241" t="s">
        <v>49</v>
      </c>
      <c r="AD241" t="s">
        <v>40</v>
      </c>
      <c r="AE241" t="s">
        <v>40</v>
      </c>
      <c r="AF241" t="s">
        <v>40</v>
      </c>
      <c r="AG241" t="s">
        <v>40</v>
      </c>
      <c r="AH241" t="s">
        <v>40</v>
      </c>
      <c r="AI241" t="s">
        <v>40</v>
      </c>
      <c r="AJ241" t="s">
        <v>40</v>
      </c>
      <c r="AK241" t="s">
        <v>40</v>
      </c>
      <c r="AL241" t="s">
        <v>40</v>
      </c>
      <c r="AM241" t="s">
        <v>40</v>
      </c>
    </row>
    <row r="242" spans="1:39" x14ac:dyDescent="0.2">
      <c r="A242" s="4" t="s">
        <v>892</v>
      </c>
      <c r="B242" s="4" t="s">
        <v>893</v>
      </c>
      <c r="C242" s="4" t="s">
        <v>40</v>
      </c>
      <c r="D242" s="4" t="s">
        <v>40</v>
      </c>
      <c r="E242" s="4" t="s">
        <v>40</v>
      </c>
      <c r="F242" t="s">
        <v>40</v>
      </c>
      <c r="G242" t="s">
        <v>894</v>
      </c>
      <c r="H242" t="s">
        <v>895</v>
      </c>
      <c r="I242" t="s">
        <v>40</v>
      </c>
      <c r="J242" t="s">
        <v>40</v>
      </c>
      <c r="K242" t="s">
        <v>40</v>
      </c>
      <c r="L242" t="s">
        <v>40</v>
      </c>
      <c r="M242">
        <v>0</v>
      </c>
      <c r="N242">
        <v>200</v>
      </c>
      <c r="O242">
        <v>1</v>
      </c>
      <c r="P242">
        <v>0</v>
      </c>
      <c r="Q242" t="s">
        <v>77</v>
      </c>
      <c r="R242" t="b">
        <v>0</v>
      </c>
      <c r="S242" t="s">
        <v>40</v>
      </c>
      <c r="T242" t="s">
        <v>49</v>
      </c>
      <c r="U242" t="s">
        <v>229</v>
      </c>
      <c r="V242" s="2">
        <v>45034.691701388918</v>
      </c>
      <c r="W242" t="s">
        <v>40</v>
      </c>
      <c r="X242">
        <v>0</v>
      </c>
      <c r="Y242" t="s">
        <v>40</v>
      </c>
      <c r="Z242" t="s">
        <v>40</v>
      </c>
      <c r="AA242" t="s">
        <v>40</v>
      </c>
      <c r="AB242">
        <v>2</v>
      </c>
      <c r="AC242" t="s">
        <v>49</v>
      </c>
      <c r="AD242" t="s">
        <v>40</v>
      </c>
      <c r="AE242" t="s">
        <v>40</v>
      </c>
      <c r="AF242" t="s">
        <v>40</v>
      </c>
      <c r="AG242" t="s">
        <v>40</v>
      </c>
      <c r="AH242" t="s">
        <v>40</v>
      </c>
      <c r="AI242" t="s">
        <v>40</v>
      </c>
      <c r="AJ242" t="s">
        <v>40</v>
      </c>
      <c r="AK242" t="s">
        <v>40</v>
      </c>
      <c r="AL242" t="s">
        <v>40</v>
      </c>
      <c r="AM242" t="s">
        <v>40</v>
      </c>
    </row>
    <row r="243" spans="1:39" x14ac:dyDescent="0.2">
      <c r="A243" s="4" t="s">
        <v>896</v>
      </c>
      <c r="B243" s="4" t="s">
        <v>897</v>
      </c>
      <c r="C243" s="4" t="s">
        <v>40</v>
      </c>
      <c r="D243" s="4" t="s">
        <v>40</v>
      </c>
      <c r="E243" s="4" t="s">
        <v>40</v>
      </c>
      <c r="F243" t="s">
        <v>40</v>
      </c>
      <c r="G243" t="s">
        <v>896</v>
      </c>
      <c r="H243" t="s">
        <v>40</v>
      </c>
      <c r="I243" t="s">
        <v>40</v>
      </c>
      <c r="J243" t="s">
        <v>40</v>
      </c>
      <c r="K243" t="s">
        <v>40</v>
      </c>
      <c r="L243" t="s">
        <v>40</v>
      </c>
      <c r="M243">
        <v>80.850000000000009</v>
      </c>
      <c r="N243">
        <v>200</v>
      </c>
      <c r="O243">
        <v>1</v>
      </c>
      <c r="P243">
        <v>0</v>
      </c>
      <c r="Q243" t="s">
        <v>77</v>
      </c>
      <c r="R243" t="b">
        <v>0</v>
      </c>
      <c r="S243" t="s">
        <v>40</v>
      </c>
      <c r="T243">
        <v>45276</v>
      </c>
      <c r="U243" t="s">
        <v>229</v>
      </c>
      <c r="V243" s="2">
        <v>45034.700023148209</v>
      </c>
      <c r="W243" t="s">
        <v>40</v>
      </c>
      <c r="X243">
        <v>0</v>
      </c>
      <c r="Y243" t="s">
        <v>40</v>
      </c>
      <c r="Z243" t="s">
        <v>40</v>
      </c>
      <c r="AA243" t="s">
        <v>40</v>
      </c>
      <c r="AB243">
        <v>0</v>
      </c>
      <c r="AC243" t="s">
        <v>49</v>
      </c>
      <c r="AD243" t="s">
        <v>40</v>
      </c>
      <c r="AE243" t="s">
        <v>40</v>
      </c>
      <c r="AF243" t="s">
        <v>40</v>
      </c>
      <c r="AG243" t="s">
        <v>40</v>
      </c>
      <c r="AH243" t="s">
        <v>40</v>
      </c>
      <c r="AI243" t="s">
        <v>40</v>
      </c>
      <c r="AJ243" t="s">
        <v>40</v>
      </c>
      <c r="AK243" t="s">
        <v>40</v>
      </c>
      <c r="AL243" t="s">
        <v>40</v>
      </c>
      <c r="AM243" t="s">
        <v>40</v>
      </c>
    </row>
    <row r="244" spans="1:39" x14ac:dyDescent="0.2">
      <c r="A244" s="4" t="s">
        <v>898</v>
      </c>
      <c r="B244" s="4" t="s">
        <v>1624</v>
      </c>
      <c r="C244" s="4" t="s">
        <v>899</v>
      </c>
      <c r="D244" s="4" t="s">
        <v>40</v>
      </c>
      <c r="E244" s="4" t="s">
        <v>40</v>
      </c>
      <c r="F244" t="s">
        <v>900</v>
      </c>
      <c r="G244" t="s">
        <v>901</v>
      </c>
      <c r="H244" t="s">
        <v>902</v>
      </c>
      <c r="I244" t="s">
        <v>40</v>
      </c>
      <c r="J244" t="s">
        <v>40</v>
      </c>
      <c r="K244" t="s">
        <v>40</v>
      </c>
      <c r="L244" t="s">
        <v>40</v>
      </c>
      <c r="M244">
        <v>0</v>
      </c>
      <c r="N244">
        <v>300</v>
      </c>
      <c r="O244">
        <v>1</v>
      </c>
      <c r="P244">
        <v>0</v>
      </c>
      <c r="Q244" t="s">
        <v>77</v>
      </c>
      <c r="R244" t="b">
        <v>0</v>
      </c>
      <c r="S244" t="s">
        <v>40</v>
      </c>
      <c r="T244" t="s">
        <v>49</v>
      </c>
      <c r="U244" t="s">
        <v>229</v>
      </c>
      <c r="V244" s="2">
        <v>45035.426574074198</v>
      </c>
      <c r="W244" t="s">
        <v>40</v>
      </c>
      <c r="X244">
        <v>0</v>
      </c>
      <c r="Y244" t="s">
        <v>40</v>
      </c>
      <c r="Z244" t="s">
        <v>40</v>
      </c>
      <c r="AA244" t="s">
        <v>40</v>
      </c>
      <c r="AB244">
        <v>2</v>
      </c>
      <c r="AC244" t="s">
        <v>49</v>
      </c>
      <c r="AD244" t="s">
        <v>40</v>
      </c>
      <c r="AE244" t="s">
        <v>40</v>
      </c>
      <c r="AF244" t="s">
        <v>40</v>
      </c>
      <c r="AG244" t="s">
        <v>40</v>
      </c>
      <c r="AH244" t="s">
        <v>40</v>
      </c>
      <c r="AI244" t="s">
        <v>40</v>
      </c>
      <c r="AJ244" t="s">
        <v>40</v>
      </c>
      <c r="AK244" t="s">
        <v>40</v>
      </c>
      <c r="AL244" t="s">
        <v>40</v>
      </c>
      <c r="AM244" t="s">
        <v>40</v>
      </c>
    </row>
    <row r="245" spans="1:39" x14ac:dyDescent="0.2">
      <c r="A245" s="4" t="s">
        <v>903</v>
      </c>
      <c r="B245" s="4" t="s">
        <v>904</v>
      </c>
      <c r="C245" s="4" t="s">
        <v>40</v>
      </c>
      <c r="D245" s="4" t="s">
        <v>40</v>
      </c>
      <c r="E245" s="4" t="s">
        <v>40</v>
      </c>
      <c r="F245" t="s">
        <v>40</v>
      </c>
      <c r="G245" t="s">
        <v>903</v>
      </c>
      <c r="H245" t="s">
        <v>40</v>
      </c>
      <c r="I245" t="s">
        <v>40</v>
      </c>
      <c r="J245" t="s">
        <v>40</v>
      </c>
      <c r="K245" t="s">
        <v>40</v>
      </c>
      <c r="L245" t="s">
        <v>40</v>
      </c>
      <c r="M245">
        <v>0</v>
      </c>
      <c r="N245">
        <v>200</v>
      </c>
      <c r="O245">
        <v>1</v>
      </c>
      <c r="P245">
        <v>0</v>
      </c>
      <c r="Q245" t="s">
        <v>77</v>
      </c>
      <c r="R245" t="b">
        <v>0</v>
      </c>
      <c r="S245" t="s">
        <v>40</v>
      </c>
      <c r="T245">
        <v>45250</v>
      </c>
      <c r="U245" t="s">
        <v>229</v>
      </c>
      <c r="V245" s="2">
        <v>45035.441250000149</v>
      </c>
      <c r="W245" t="s">
        <v>40</v>
      </c>
      <c r="X245">
        <v>0</v>
      </c>
      <c r="Y245" t="s">
        <v>40</v>
      </c>
      <c r="Z245" t="s">
        <v>40</v>
      </c>
      <c r="AA245" t="s">
        <v>40</v>
      </c>
      <c r="AB245">
        <v>0</v>
      </c>
      <c r="AC245" t="s">
        <v>49</v>
      </c>
      <c r="AD245" t="s">
        <v>40</v>
      </c>
      <c r="AE245" t="s">
        <v>40</v>
      </c>
      <c r="AF245" t="s">
        <v>40</v>
      </c>
      <c r="AG245" t="s">
        <v>40</v>
      </c>
      <c r="AH245" t="s">
        <v>40</v>
      </c>
      <c r="AI245" t="s">
        <v>40</v>
      </c>
      <c r="AJ245" t="s">
        <v>40</v>
      </c>
      <c r="AK245" t="s">
        <v>40</v>
      </c>
      <c r="AL245" t="s">
        <v>40</v>
      </c>
      <c r="AM245" t="s">
        <v>40</v>
      </c>
    </row>
    <row r="246" spans="1:39" x14ac:dyDescent="0.2">
      <c r="A246" s="4" t="s">
        <v>905</v>
      </c>
      <c r="B246" s="4" t="s">
        <v>1625</v>
      </c>
      <c r="C246" s="4" t="s">
        <v>906</v>
      </c>
      <c r="D246" s="4" t="s">
        <v>247</v>
      </c>
      <c r="E246" s="4" t="s">
        <v>225</v>
      </c>
      <c r="F246" t="s">
        <v>907</v>
      </c>
      <c r="G246" t="s">
        <v>908</v>
      </c>
      <c r="H246" t="s">
        <v>909</v>
      </c>
      <c r="I246" t="s">
        <v>40</v>
      </c>
      <c r="J246" t="s">
        <v>40</v>
      </c>
      <c r="K246" t="s">
        <v>40</v>
      </c>
      <c r="L246" t="s">
        <v>40</v>
      </c>
      <c r="M246">
        <v>-2.4500000000000002</v>
      </c>
      <c r="N246">
        <v>500</v>
      </c>
      <c r="O246">
        <v>1</v>
      </c>
      <c r="P246">
        <v>0</v>
      </c>
      <c r="Q246" t="s">
        <v>77</v>
      </c>
      <c r="R246" t="b">
        <v>0</v>
      </c>
      <c r="S246" t="s">
        <v>40</v>
      </c>
      <c r="T246" t="s">
        <v>49</v>
      </c>
      <c r="U246" t="s">
        <v>229</v>
      </c>
      <c r="V246" s="2">
        <v>45043.479247673415</v>
      </c>
      <c r="W246" t="s">
        <v>40</v>
      </c>
      <c r="X246">
        <v>0</v>
      </c>
      <c r="Y246" t="s">
        <v>40</v>
      </c>
      <c r="Z246" t="s">
        <v>40</v>
      </c>
      <c r="AA246" t="s">
        <v>40</v>
      </c>
      <c r="AB246">
        <v>2</v>
      </c>
      <c r="AC246" t="s">
        <v>49</v>
      </c>
      <c r="AD246" t="s">
        <v>40</v>
      </c>
      <c r="AE246" t="s">
        <v>40</v>
      </c>
      <c r="AF246" t="s">
        <v>40</v>
      </c>
      <c r="AG246" t="s">
        <v>40</v>
      </c>
      <c r="AH246" t="s">
        <v>40</v>
      </c>
      <c r="AI246" t="s">
        <v>40</v>
      </c>
      <c r="AJ246" t="s">
        <v>40</v>
      </c>
      <c r="AK246" t="s">
        <v>40</v>
      </c>
      <c r="AL246" t="s">
        <v>40</v>
      </c>
      <c r="AM246" t="s">
        <v>40</v>
      </c>
    </row>
    <row r="247" spans="1:39" x14ac:dyDescent="0.2">
      <c r="A247" s="4" t="s">
        <v>910</v>
      </c>
      <c r="B247" s="4" t="s">
        <v>1626</v>
      </c>
      <c r="C247" s="4" t="s">
        <v>863</v>
      </c>
      <c r="D247" s="4" t="s">
        <v>40</v>
      </c>
      <c r="E247" s="4" t="s">
        <v>40</v>
      </c>
      <c r="F247" t="s">
        <v>40</v>
      </c>
      <c r="G247" t="s">
        <v>911</v>
      </c>
      <c r="H247" t="s">
        <v>912</v>
      </c>
      <c r="I247" t="s">
        <v>40</v>
      </c>
      <c r="J247" t="s">
        <v>40</v>
      </c>
      <c r="K247" t="s">
        <v>40</v>
      </c>
      <c r="L247" t="s">
        <v>40</v>
      </c>
      <c r="M247">
        <v>0</v>
      </c>
      <c r="N247">
        <v>500</v>
      </c>
      <c r="O247">
        <v>1</v>
      </c>
      <c r="P247">
        <v>0</v>
      </c>
      <c r="Q247" t="s">
        <v>77</v>
      </c>
      <c r="R247" t="b">
        <v>0</v>
      </c>
      <c r="S247" t="s">
        <v>40</v>
      </c>
      <c r="T247" t="s">
        <v>49</v>
      </c>
      <c r="U247" t="s">
        <v>229</v>
      </c>
      <c r="V247" s="2">
        <v>45043.495208321605</v>
      </c>
      <c r="W247" t="s">
        <v>40</v>
      </c>
      <c r="X247">
        <v>0</v>
      </c>
      <c r="Y247" t="s">
        <v>40</v>
      </c>
      <c r="Z247" t="s">
        <v>40</v>
      </c>
      <c r="AA247" t="s">
        <v>40</v>
      </c>
      <c r="AB247">
        <v>0</v>
      </c>
      <c r="AC247" t="s">
        <v>49</v>
      </c>
      <c r="AD247" t="s">
        <v>40</v>
      </c>
      <c r="AE247" t="s">
        <v>40</v>
      </c>
      <c r="AF247" t="s">
        <v>40</v>
      </c>
      <c r="AG247" t="s">
        <v>40</v>
      </c>
      <c r="AH247" t="s">
        <v>40</v>
      </c>
      <c r="AI247" t="s">
        <v>40</v>
      </c>
      <c r="AJ247" t="s">
        <v>40</v>
      </c>
      <c r="AK247" t="s">
        <v>40</v>
      </c>
      <c r="AL247" t="s">
        <v>40</v>
      </c>
      <c r="AM247" t="s">
        <v>40</v>
      </c>
    </row>
    <row r="248" spans="1:39" x14ac:dyDescent="0.2">
      <c r="A248" s="4" t="s">
        <v>913</v>
      </c>
      <c r="B248" s="4" t="s">
        <v>914</v>
      </c>
      <c r="C248" s="4" t="s">
        <v>40</v>
      </c>
      <c r="D248" s="4" t="s">
        <v>40</v>
      </c>
      <c r="E248" s="4" t="s">
        <v>40</v>
      </c>
      <c r="F248" t="s">
        <v>40</v>
      </c>
      <c r="G248" t="s">
        <v>913</v>
      </c>
      <c r="H248" t="s">
        <v>40</v>
      </c>
      <c r="I248" t="s">
        <v>40</v>
      </c>
      <c r="J248" t="s">
        <v>40</v>
      </c>
      <c r="K248" t="s">
        <v>40</v>
      </c>
      <c r="L248" t="s">
        <v>40</v>
      </c>
      <c r="M248">
        <v>4.9000000000000004</v>
      </c>
      <c r="N248">
        <v>200</v>
      </c>
      <c r="O248">
        <v>1</v>
      </c>
      <c r="P248">
        <v>0</v>
      </c>
      <c r="Q248" t="s">
        <v>77</v>
      </c>
      <c r="R248" t="b">
        <v>0</v>
      </c>
      <c r="S248" t="s">
        <v>40</v>
      </c>
      <c r="T248">
        <v>45077</v>
      </c>
      <c r="U248" t="s">
        <v>229</v>
      </c>
      <c r="V248" s="2">
        <v>45043.69305555569</v>
      </c>
      <c r="W248" t="s">
        <v>40</v>
      </c>
      <c r="X248">
        <v>0</v>
      </c>
      <c r="Y248" t="s">
        <v>40</v>
      </c>
      <c r="Z248" t="s">
        <v>40</v>
      </c>
      <c r="AA248" t="s">
        <v>40</v>
      </c>
      <c r="AB248">
        <v>2</v>
      </c>
      <c r="AC248" t="s">
        <v>49</v>
      </c>
      <c r="AD248" t="s">
        <v>40</v>
      </c>
      <c r="AE248" t="s">
        <v>40</v>
      </c>
      <c r="AF248" t="s">
        <v>40</v>
      </c>
      <c r="AG248" t="s">
        <v>40</v>
      </c>
      <c r="AH248" t="s">
        <v>40</v>
      </c>
      <c r="AI248" t="s">
        <v>40</v>
      </c>
      <c r="AJ248" t="s">
        <v>40</v>
      </c>
      <c r="AK248" t="s">
        <v>40</v>
      </c>
      <c r="AL248" t="s">
        <v>40</v>
      </c>
      <c r="AM248" t="s">
        <v>40</v>
      </c>
    </row>
    <row r="249" spans="1:39" x14ac:dyDescent="0.2">
      <c r="A249" s="4" t="s">
        <v>915</v>
      </c>
      <c r="B249" s="4" t="s">
        <v>916</v>
      </c>
      <c r="C249" s="4" t="s">
        <v>863</v>
      </c>
      <c r="D249" s="4" t="s">
        <v>40</v>
      </c>
      <c r="E249" s="4" t="s">
        <v>40</v>
      </c>
      <c r="F249" t="s">
        <v>917</v>
      </c>
      <c r="G249" t="s">
        <v>918</v>
      </c>
      <c r="H249" t="s">
        <v>919</v>
      </c>
      <c r="I249" t="s">
        <v>40</v>
      </c>
      <c r="J249" t="s">
        <v>40</v>
      </c>
      <c r="K249" t="s">
        <v>40</v>
      </c>
      <c r="L249" t="s">
        <v>40</v>
      </c>
      <c r="M249">
        <v>0</v>
      </c>
      <c r="N249">
        <v>500</v>
      </c>
      <c r="O249">
        <v>1</v>
      </c>
      <c r="P249">
        <v>0</v>
      </c>
      <c r="Q249" t="s">
        <v>77</v>
      </c>
      <c r="R249" t="b">
        <v>0</v>
      </c>
      <c r="S249" t="s">
        <v>40</v>
      </c>
      <c r="T249" s="1" t="s">
        <v>49</v>
      </c>
      <c r="U249" t="s">
        <v>229</v>
      </c>
      <c r="V249" s="2">
        <v>45043.706921284553</v>
      </c>
      <c r="W249" t="s">
        <v>40</v>
      </c>
      <c r="X249">
        <v>0</v>
      </c>
      <c r="Y249" t="s">
        <v>40</v>
      </c>
      <c r="Z249" t="s">
        <v>40</v>
      </c>
      <c r="AA249" t="s">
        <v>40</v>
      </c>
      <c r="AB249">
        <v>2</v>
      </c>
      <c r="AC249" t="s">
        <v>49</v>
      </c>
      <c r="AD249" t="s">
        <v>40</v>
      </c>
      <c r="AE249" t="s">
        <v>40</v>
      </c>
      <c r="AF249" t="s">
        <v>40</v>
      </c>
      <c r="AG249" t="s">
        <v>40</v>
      </c>
      <c r="AH249" t="s">
        <v>40</v>
      </c>
      <c r="AI249" t="s">
        <v>40</v>
      </c>
      <c r="AJ249" t="s">
        <v>40</v>
      </c>
      <c r="AK249" t="s">
        <v>40</v>
      </c>
      <c r="AL249" t="s">
        <v>40</v>
      </c>
      <c r="AM249" t="s">
        <v>40</v>
      </c>
    </row>
    <row r="250" spans="1:39" x14ac:dyDescent="0.2">
      <c r="A250" s="4" t="s">
        <v>920</v>
      </c>
      <c r="B250" s="4" t="s">
        <v>921</v>
      </c>
      <c r="C250" s="4" t="s">
        <v>863</v>
      </c>
      <c r="D250" s="4" t="s">
        <v>40</v>
      </c>
      <c r="E250" s="4" t="s">
        <v>40</v>
      </c>
      <c r="F250" t="s">
        <v>40</v>
      </c>
      <c r="G250" t="s">
        <v>922</v>
      </c>
      <c r="H250" t="s">
        <v>40</v>
      </c>
      <c r="I250" t="s">
        <v>40</v>
      </c>
      <c r="J250" t="s">
        <v>40</v>
      </c>
      <c r="K250" t="s">
        <v>40</v>
      </c>
      <c r="L250" t="s">
        <v>40</v>
      </c>
      <c r="M250">
        <v>0</v>
      </c>
      <c r="N250">
        <v>0</v>
      </c>
      <c r="O250">
        <v>1</v>
      </c>
      <c r="P250">
        <v>0</v>
      </c>
      <c r="Q250" t="s">
        <v>77</v>
      </c>
      <c r="R250" t="b">
        <v>0</v>
      </c>
      <c r="S250" t="s">
        <v>40</v>
      </c>
      <c r="T250" t="s">
        <v>49</v>
      </c>
      <c r="U250" t="s">
        <v>229</v>
      </c>
      <c r="V250" s="2">
        <v>45044.506099525373</v>
      </c>
      <c r="W250" t="s">
        <v>40</v>
      </c>
      <c r="X250">
        <v>0</v>
      </c>
      <c r="Y250" t="s">
        <v>40</v>
      </c>
      <c r="Z250" t="s">
        <v>40</v>
      </c>
      <c r="AA250" t="s">
        <v>40</v>
      </c>
      <c r="AB250">
        <v>2</v>
      </c>
      <c r="AC250" t="s">
        <v>49</v>
      </c>
      <c r="AD250" t="s">
        <v>40</v>
      </c>
      <c r="AE250" t="s">
        <v>40</v>
      </c>
      <c r="AF250" t="s">
        <v>40</v>
      </c>
      <c r="AG250" t="s">
        <v>40</v>
      </c>
      <c r="AH250" t="s">
        <v>40</v>
      </c>
      <c r="AI250" t="s">
        <v>40</v>
      </c>
      <c r="AJ250" t="s">
        <v>40</v>
      </c>
      <c r="AK250" t="s">
        <v>40</v>
      </c>
      <c r="AL250" t="s">
        <v>40</v>
      </c>
      <c r="AM250" t="s">
        <v>40</v>
      </c>
    </row>
    <row r="251" spans="1:39" x14ac:dyDescent="0.2">
      <c r="A251" s="4" t="s">
        <v>923</v>
      </c>
      <c r="B251" s="4" t="s">
        <v>924</v>
      </c>
      <c r="C251" s="4" t="s">
        <v>40</v>
      </c>
      <c r="D251" s="4" t="s">
        <v>40</v>
      </c>
      <c r="E251" s="4" t="s">
        <v>40</v>
      </c>
      <c r="F251" t="s">
        <v>40</v>
      </c>
      <c r="G251" t="s">
        <v>925</v>
      </c>
      <c r="H251" t="s">
        <v>40</v>
      </c>
      <c r="I251" t="s">
        <v>40</v>
      </c>
      <c r="J251" t="s">
        <v>40</v>
      </c>
      <c r="K251" t="s">
        <v>40</v>
      </c>
      <c r="L251" t="s">
        <v>40</v>
      </c>
      <c r="M251">
        <v>63.7</v>
      </c>
      <c r="N251">
        <v>50</v>
      </c>
      <c r="O251">
        <v>2</v>
      </c>
      <c r="P251">
        <v>30</v>
      </c>
      <c r="Q251" t="s">
        <v>77</v>
      </c>
      <c r="R251" t="b">
        <v>0</v>
      </c>
      <c r="S251" t="s">
        <v>40</v>
      </c>
      <c r="T251">
        <v>45059</v>
      </c>
      <c r="U251" t="s">
        <v>229</v>
      </c>
      <c r="V251" s="2">
        <v>45048.443229166791</v>
      </c>
      <c r="W251" t="s">
        <v>40</v>
      </c>
      <c r="X251">
        <v>0</v>
      </c>
      <c r="Y251" t="s">
        <v>40</v>
      </c>
      <c r="Z251" t="s">
        <v>40</v>
      </c>
      <c r="AA251" t="s">
        <v>40</v>
      </c>
      <c r="AB251">
        <v>0</v>
      </c>
      <c r="AC251" t="s">
        <v>49</v>
      </c>
      <c r="AD251" t="s">
        <v>40</v>
      </c>
      <c r="AE251" t="s">
        <v>40</v>
      </c>
      <c r="AF251" t="s">
        <v>40</v>
      </c>
      <c r="AG251" t="s">
        <v>40</v>
      </c>
      <c r="AH251" t="s">
        <v>40</v>
      </c>
      <c r="AI251" t="s">
        <v>40</v>
      </c>
      <c r="AJ251" t="s">
        <v>40</v>
      </c>
      <c r="AK251" t="s">
        <v>40</v>
      </c>
      <c r="AL251" t="s">
        <v>40</v>
      </c>
      <c r="AM251" t="s">
        <v>40</v>
      </c>
    </row>
    <row r="252" spans="1:39" x14ac:dyDescent="0.2">
      <c r="A252" s="4" t="s">
        <v>926</v>
      </c>
      <c r="B252" s="4" t="s">
        <v>927</v>
      </c>
      <c r="C252" s="4" t="s">
        <v>40</v>
      </c>
      <c r="D252" s="4" t="s">
        <v>40</v>
      </c>
      <c r="E252" s="4" t="s">
        <v>40</v>
      </c>
      <c r="F252" t="s">
        <v>40</v>
      </c>
      <c r="G252" t="s">
        <v>926</v>
      </c>
      <c r="H252" t="s">
        <v>40</v>
      </c>
      <c r="I252" t="s">
        <v>40</v>
      </c>
      <c r="J252" t="s">
        <v>40</v>
      </c>
      <c r="K252" t="s">
        <v>40</v>
      </c>
      <c r="L252" t="s">
        <v>40</v>
      </c>
      <c r="M252">
        <v>10</v>
      </c>
      <c r="N252">
        <v>500</v>
      </c>
      <c r="O252">
        <v>1</v>
      </c>
      <c r="P252">
        <v>0</v>
      </c>
      <c r="Q252" t="s">
        <v>77</v>
      </c>
      <c r="R252" t="b">
        <v>0</v>
      </c>
      <c r="S252" t="s">
        <v>40</v>
      </c>
      <c r="T252" t="s">
        <v>49</v>
      </c>
      <c r="U252" t="s">
        <v>229</v>
      </c>
      <c r="V252" s="2">
        <v>45062.43996527791</v>
      </c>
      <c r="W252" t="s">
        <v>40</v>
      </c>
      <c r="X252">
        <v>0</v>
      </c>
      <c r="Y252" t="s">
        <v>40</v>
      </c>
      <c r="Z252" t="s">
        <v>40</v>
      </c>
      <c r="AA252" t="s">
        <v>40</v>
      </c>
      <c r="AB252">
        <v>0</v>
      </c>
      <c r="AC252" t="s">
        <v>49</v>
      </c>
      <c r="AD252" t="s">
        <v>40</v>
      </c>
      <c r="AE252" t="s">
        <v>40</v>
      </c>
      <c r="AF252" t="s">
        <v>40</v>
      </c>
      <c r="AG252" t="s">
        <v>40</v>
      </c>
      <c r="AH252" t="s">
        <v>40</v>
      </c>
      <c r="AI252" t="s">
        <v>40</v>
      </c>
      <c r="AJ252" t="s">
        <v>40</v>
      </c>
      <c r="AK252" t="s">
        <v>40</v>
      </c>
      <c r="AL252" t="s">
        <v>40</v>
      </c>
      <c r="AM252" t="s">
        <v>40</v>
      </c>
    </row>
    <row r="253" spans="1:39" x14ac:dyDescent="0.2">
      <c r="A253" s="4" t="s">
        <v>928</v>
      </c>
      <c r="B253" s="4" t="s">
        <v>929</v>
      </c>
      <c r="C253" s="4" t="s">
        <v>1773</v>
      </c>
      <c r="D253" s="4" t="s">
        <v>225</v>
      </c>
      <c r="E253" s="4" t="s">
        <v>225</v>
      </c>
      <c r="F253" t="s">
        <v>40</v>
      </c>
      <c r="G253" t="s">
        <v>928</v>
      </c>
      <c r="H253" t="s">
        <v>40</v>
      </c>
      <c r="I253" t="s">
        <v>40</v>
      </c>
      <c r="J253" t="s">
        <v>40</v>
      </c>
      <c r="K253" t="s">
        <v>40</v>
      </c>
      <c r="L253" t="s">
        <v>40</v>
      </c>
      <c r="M253">
        <v>-19.600000000000001</v>
      </c>
      <c r="N253">
        <v>500</v>
      </c>
      <c r="O253">
        <v>1</v>
      </c>
      <c r="P253">
        <v>0</v>
      </c>
      <c r="Q253" t="s">
        <v>77</v>
      </c>
      <c r="R253" t="b">
        <v>0</v>
      </c>
      <c r="S253" t="s">
        <v>40</v>
      </c>
      <c r="T253">
        <v>45313</v>
      </c>
      <c r="U253" t="s">
        <v>229</v>
      </c>
      <c r="V253" s="2">
        <v>45062.572395821568</v>
      </c>
      <c r="W253" t="s">
        <v>930</v>
      </c>
      <c r="X253">
        <v>0</v>
      </c>
      <c r="Y253" t="s">
        <v>40</v>
      </c>
      <c r="Z253" t="s">
        <v>40</v>
      </c>
      <c r="AA253" t="s">
        <v>40</v>
      </c>
      <c r="AB253">
        <v>0</v>
      </c>
      <c r="AC253" t="s">
        <v>49</v>
      </c>
      <c r="AD253" t="s">
        <v>40</v>
      </c>
      <c r="AE253" t="s">
        <v>40</v>
      </c>
      <c r="AF253" t="s">
        <v>929</v>
      </c>
      <c r="AG253" t="s">
        <v>40</v>
      </c>
      <c r="AH253" t="s">
        <v>40</v>
      </c>
      <c r="AI253" t="s">
        <v>40</v>
      </c>
      <c r="AJ253" t="s">
        <v>40</v>
      </c>
      <c r="AK253" t="s">
        <v>40</v>
      </c>
      <c r="AL253" t="s">
        <v>40</v>
      </c>
      <c r="AM253" t="s">
        <v>40</v>
      </c>
    </row>
    <row r="254" spans="1:39" x14ac:dyDescent="0.2">
      <c r="A254" s="4" t="s">
        <v>931</v>
      </c>
      <c r="B254" s="4" t="s">
        <v>1627</v>
      </c>
      <c r="C254" s="4" t="s">
        <v>932</v>
      </c>
      <c r="D254" s="4" t="s">
        <v>40</v>
      </c>
      <c r="E254" s="4" t="s">
        <v>40</v>
      </c>
      <c r="F254" t="s">
        <v>40</v>
      </c>
      <c r="G254" t="s">
        <v>933</v>
      </c>
      <c r="H254" t="s">
        <v>934</v>
      </c>
      <c r="I254" t="s">
        <v>40</v>
      </c>
      <c r="J254" t="s">
        <v>40</v>
      </c>
      <c r="K254" t="s">
        <v>40</v>
      </c>
      <c r="L254" t="s">
        <v>40</v>
      </c>
      <c r="M254">
        <v>0</v>
      </c>
      <c r="N254">
        <v>500</v>
      </c>
      <c r="O254">
        <v>1</v>
      </c>
      <c r="P254">
        <v>0</v>
      </c>
      <c r="Q254" t="s">
        <v>77</v>
      </c>
      <c r="R254" t="b">
        <v>0</v>
      </c>
      <c r="S254" t="s">
        <v>40</v>
      </c>
      <c r="T254" t="s">
        <v>49</v>
      </c>
      <c r="U254" t="s">
        <v>229</v>
      </c>
      <c r="V254" s="2">
        <v>45062.576967592817</v>
      </c>
      <c r="W254" t="s">
        <v>40</v>
      </c>
      <c r="X254">
        <v>0</v>
      </c>
      <c r="Y254" t="s">
        <v>40</v>
      </c>
      <c r="Z254" t="s">
        <v>40</v>
      </c>
      <c r="AA254" t="s">
        <v>40</v>
      </c>
      <c r="AB254">
        <v>2</v>
      </c>
      <c r="AC254" t="s">
        <v>49</v>
      </c>
      <c r="AD254" t="s">
        <v>40</v>
      </c>
      <c r="AE254" t="s">
        <v>40</v>
      </c>
      <c r="AF254" t="s">
        <v>40</v>
      </c>
      <c r="AG254" t="s">
        <v>40</v>
      </c>
      <c r="AH254" t="s">
        <v>40</v>
      </c>
      <c r="AI254" t="s">
        <v>40</v>
      </c>
      <c r="AJ254" t="s">
        <v>40</v>
      </c>
      <c r="AK254" t="s">
        <v>40</v>
      </c>
      <c r="AL254" t="s">
        <v>40</v>
      </c>
      <c r="AM254" t="s">
        <v>40</v>
      </c>
    </row>
    <row r="255" spans="1:39" x14ac:dyDescent="0.2">
      <c r="A255" s="4" t="s">
        <v>935</v>
      </c>
      <c r="B255" s="4" t="s">
        <v>936</v>
      </c>
      <c r="C255" s="4" t="s">
        <v>40</v>
      </c>
      <c r="D255" s="4" t="s">
        <v>40</v>
      </c>
      <c r="E255" s="4" t="s">
        <v>40</v>
      </c>
      <c r="F255" t="s">
        <v>40</v>
      </c>
      <c r="G255" t="s">
        <v>40</v>
      </c>
      <c r="H255" t="s">
        <v>40</v>
      </c>
      <c r="I255" t="s">
        <v>40</v>
      </c>
      <c r="J255" t="s">
        <v>40</v>
      </c>
      <c r="K255" t="s">
        <v>40</v>
      </c>
      <c r="L255" t="s">
        <v>40</v>
      </c>
      <c r="M255">
        <v>9.8000000000000007</v>
      </c>
      <c r="N255">
        <v>500</v>
      </c>
      <c r="O255">
        <v>2</v>
      </c>
      <c r="P255">
        <v>30</v>
      </c>
      <c r="Q255" t="s">
        <v>77</v>
      </c>
      <c r="R255" t="b">
        <v>0</v>
      </c>
      <c r="S255" t="s">
        <v>40</v>
      </c>
      <c r="T255" t="s">
        <v>49</v>
      </c>
      <c r="U255" t="s">
        <v>229</v>
      </c>
      <c r="V255" s="2">
        <v>45062.584189814981</v>
      </c>
      <c r="W255" t="s">
        <v>40</v>
      </c>
      <c r="X255">
        <v>0</v>
      </c>
      <c r="Y255" t="s">
        <v>40</v>
      </c>
      <c r="Z255" t="s">
        <v>40</v>
      </c>
      <c r="AA255" t="s">
        <v>40</v>
      </c>
      <c r="AB255">
        <v>0</v>
      </c>
      <c r="AC255" t="s">
        <v>49</v>
      </c>
      <c r="AD255" t="s">
        <v>40</v>
      </c>
      <c r="AE255" t="s">
        <v>40</v>
      </c>
      <c r="AF255" t="s">
        <v>40</v>
      </c>
      <c r="AG255" t="s">
        <v>40</v>
      </c>
      <c r="AH255" t="s">
        <v>40</v>
      </c>
      <c r="AI255" t="s">
        <v>40</v>
      </c>
      <c r="AJ255" t="s">
        <v>40</v>
      </c>
      <c r="AK255" t="s">
        <v>40</v>
      </c>
      <c r="AL255" t="s">
        <v>40</v>
      </c>
      <c r="AM255" t="s">
        <v>40</v>
      </c>
    </row>
    <row r="256" spans="1:39" x14ac:dyDescent="0.2">
      <c r="A256" s="4" t="s">
        <v>937</v>
      </c>
      <c r="B256" s="4" t="s">
        <v>938</v>
      </c>
      <c r="C256" s="4" t="s">
        <v>40</v>
      </c>
      <c r="D256" s="4" t="s">
        <v>40</v>
      </c>
      <c r="E256" s="4" t="s">
        <v>40</v>
      </c>
      <c r="F256" t="s">
        <v>40</v>
      </c>
      <c r="G256" t="s">
        <v>937</v>
      </c>
      <c r="H256" t="s">
        <v>40</v>
      </c>
      <c r="I256" t="s">
        <v>40</v>
      </c>
      <c r="J256" t="s">
        <v>40</v>
      </c>
      <c r="K256" t="s">
        <v>40</v>
      </c>
      <c r="L256" t="s">
        <v>40</v>
      </c>
      <c r="M256">
        <v>0</v>
      </c>
      <c r="N256">
        <v>500</v>
      </c>
      <c r="O256">
        <v>2</v>
      </c>
      <c r="P256">
        <v>30</v>
      </c>
      <c r="Q256" t="s">
        <v>77</v>
      </c>
      <c r="R256" t="b">
        <v>0</v>
      </c>
      <c r="S256" t="s">
        <v>40</v>
      </c>
      <c r="T256">
        <v>45225</v>
      </c>
      <c r="U256" t="s">
        <v>229</v>
      </c>
      <c r="V256" s="2">
        <v>45062.685208321549</v>
      </c>
      <c r="W256" t="s">
        <v>40</v>
      </c>
      <c r="X256">
        <v>0</v>
      </c>
      <c r="Y256" t="s">
        <v>40</v>
      </c>
      <c r="Z256" t="s">
        <v>40</v>
      </c>
      <c r="AA256" t="s">
        <v>40</v>
      </c>
      <c r="AB256">
        <v>1</v>
      </c>
      <c r="AC256" t="s">
        <v>49</v>
      </c>
      <c r="AD256" t="s">
        <v>40</v>
      </c>
      <c r="AE256" t="s">
        <v>40</v>
      </c>
      <c r="AF256" t="s">
        <v>40</v>
      </c>
      <c r="AG256" t="s">
        <v>40</v>
      </c>
      <c r="AH256" t="s">
        <v>40</v>
      </c>
      <c r="AI256" t="s">
        <v>40</v>
      </c>
      <c r="AJ256" t="s">
        <v>40</v>
      </c>
      <c r="AK256" t="s">
        <v>40</v>
      </c>
      <c r="AL256" t="s">
        <v>40</v>
      </c>
      <c r="AM256" t="s">
        <v>40</v>
      </c>
    </row>
    <row r="257" spans="1:39" x14ac:dyDescent="0.2">
      <c r="A257" s="4" t="s">
        <v>939</v>
      </c>
      <c r="B257" s="4" t="s">
        <v>940</v>
      </c>
      <c r="C257" s="4" t="s">
        <v>941</v>
      </c>
      <c r="D257" s="4" t="s">
        <v>225</v>
      </c>
      <c r="E257" s="4" t="s">
        <v>225</v>
      </c>
      <c r="F257" t="s">
        <v>40</v>
      </c>
      <c r="G257" t="s">
        <v>942</v>
      </c>
      <c r="H257" t="s">
        <v>943</v>
      </c>
      <c r="I257" t="s">
        <v>40</v>
      </c>
      <c r="J257" t="s">
        <v>40</v>
      </c>
      <c r="K257" t="s">
        <v>40</v>
      </c>
      <c r="L257" t="s">
        <v>40</v>
      </c>
      <c r="M257">
        <v>0</v>
      </c>
      <c r="N257">
        <v>500</v>
      </c>
      <c r="O257">
        <v>1</v>
      </c>
      <c r="P257">
        <v>0</v>
      </c>
      <c r="Q257" t="s">
        <v>77</v>
      </c>
      <c r="R257" t="b">
        <v>0</v>
      </c>
      <c r="S257" t="s">
        <v>40</v>
      </c>
      <c r="T257" t="s">
        <v>49</v>
      </c>
      <c r="U257" t="s">
        <v>229</v>
      </c>
      <c r="V257" s="2">
        <v>45062.696388889104</v>
      </c>
      <c r="W257" t="s">
        <v>40</v>
      </c>
      <c r="X257">
        <v>0</v>
      </c>
      <c r="Y257" t="s">
        <v>40</v>
      </c>
      <c r="Z257" t="s">
        <v>40</v>
      </c>
      <c r="AA257" t="s">
        <v>40</v>
      </c>
      <c r="AB257">
        <v>1</v>
      </c>
      <c r="AC257" t="s">
        <v>49</v>
      </c>
      <c r="AD257" t="s">
        <v>40</v>
      </c>
      <c r="AE257" t="s">
        <v>40</v>
      </c>
      <c r="AF257" t="s">
        <v>40</v>
      </c>
      <c r="AG257" t="s">
        <v>40</v>
      </c>
      <c r="AH257" t="s">
        <v>40</v>
      </c>
      <c r="AI257" t="s">
        <v>40</v>
      </c>
      <c r="AJ257" t="s">
        <v>40</v>
      </c>
      <c r="AK257" t="s">
        <v>40</v>
      </c>
      <c r="AL257" t="s">
        <v>40</v>
      </c>
      <c r="AM257" t="s">
        <v>40</v>
      </c>
    </row>
    <row r="258" spans="1:39" x14ac:dyDescent="0.2">
      <c r="A258" s="4" t="s">
        <v>944</v>
      </c>
      <c r="B258" s="4" t="s">
        <v>945</v>
      </c>
      <c r="C258" s="4" t="s">
        <v>40</v>
      </c>
      <c r="D258" s="4" t="s">
        <v>40</v>
      </c>
      <c r="E258" s="4" t="s">
        <v>40</v>
      </c>
      <c r="F258" t="s">
        <v>40</v>
      </c>
      <c r="G258" t="s">
        <v>944</v>
      </c>
      <c r="H258" t="s">
        <v>40</v>
      </c>
      <c r="I258" t="s">
        <v>40</v>
      </c>
      <c r="J258" t="s">
        <v>40</v>
      </c>
      <c r="K258" t="s">
        <v>40</v>
      </c>
      <c r="L258" t="s">
        <v>40</v>
      </c>
      <c r="M258">
        <v>0</v>
      </c>
      <c r="N258">
        <v>500</v>
      </c>
      <c r="O258">
        <v>2</v>
      </c>
      <c r="P258">
        <v>30</v>
      </c>
      <c r="Q258" t="s">
        <v>77</v>
      </c>
      <c r="R258" t="b">
        <v>0</v>
      </c>
      <c r="S258" t="s">
        <v>40</v>
      </c>
      <c r="T258">
        <v>45033</v>
      </c>
      <c r="U258" t="s">
        <v>229</v>
      </c>
      <c r="V258" s="2">
        <v>45063.340972222388</v>
      </c>
      <c r="W258" t="s">
        <v>40</v>
      </c>
      <c r="X258">
        <v>0</v>
      </c>
      <c r="Y258" t="s">
        <v>40</v>
      </c>
      <c r="Z258" t="s">
        <v>40</v>
      </c>
      <c r="AA258" t="s">
        <v>40</v>
      </c>
      <c r="AB258">
        <v>0</v>
      </c>
      <c r="AC258" t="s">
        <v>49</v>
      </c>
      <c r="AD258" t="s">
        <v>40</v>
      </c>
      <c r="AE258" t="s">
        <v>40</v>
      </c>
      <c r="AF258" t="s">
        <v>40</v>
      </c>
      <c r="AG258" t="s">
        <v>40</v>
      </c>
      <c r="AH258" t="s">
        <v>40</v>
      </c>
      <c r="AI258" t="s">
        <v>40</v>
      </c>
      <c r="AJ258" t="s">
        <v>40</v>
      </c>
      <c r="AK258" t="s">
        <v>40</v>
      </c>
      <c r="AL258" t="s">
        <v>40</v>
      </c>
      <c r="AM258" t="s">
        <v>40</v>
      </c>
    </row>
    <row r="259" spans="1:39" x14ac:dyDescent="0.2">
      <c r="A259" s="4" t="s">
        <v>946</v>
      </c>
      <c r="B259" s="4" t="s">
        <v>947</v>
      </c>
      <c r="C259" s="4" t="s">
        <v>40</v>
      </c>
      <c r="D259" s="4" t="s">
        <v>40</v>
      </c>
      <c r="E259" s="4" t="s">
        <v>40</v>
      </c>
      <c r="F259" t="s">
        <v>40</v>
      </c>
      <c r="G259" t="s">
        <v>946</v>
      </c>
      <c r="H259" t="s">
        <v>40</v>
      </c>
      <c r="I259" t="s">
        <v>40</v>
      </c>
      <c r="J259" t="s">
        <v>40</v>
      </c>
      <c r="K259" t="s">
        <v>40</v>
      </c>
      <c r="L259" t="s">
        <v>40</v>
      </c>
      <c r="M259">
        <v>30.950000000000003</v>
      </c>
      <c r="N259">
        <v>500</v>
      </c>
      <c r="O259">
        <v>2</v>
      </c>
      <c r="P259">
        <v>30</v>
      </c>
      <c r="Q259" t="s">
        <v>77</v>
      </c>
      <c r="R259" t="b">
        <v>0</v>
      </c>
      <c r="S259" t="s">
        <v>40</v>
      </c>
      <c r="T259">
        <v>45294</v>
      </c>
      <c r="U259" t="s">
        <v>229</v>
      </c>
      <c r="V259" s="2">
        <v>45063.427361111157</v>
      </c>
      <c r="W259" t="s">
        <v>40</v>
      </c>
      <c r="X259">
        <v>0</v>
      </c>
      <c r="Y259" t="s">
        <v>40</v>
      </c>
      <c r="Z259" t="s">
        <v>40</v>
      </c>
      <c r="AA259" t="s">
        <v>40</v>
      </c>
      <c r="AB259">
        <v>0</v>
      </c>
      <c r="AC259" t="s">
        <v>49</v>
      </c>
      <c r="AD259" t="s">
        <v>40</v>
      </c>
      <c r="AE259" t="s">
        <v>40</v>
      </c>
      <c r="AF259" t="s">
        <v>40</v>
      </c>
      <c r="AG259" t="s">
        <v>40</v>
      </c>
      <c r="AH259" t="s">
        <v>40</v>
      </c>
      <c r="AI259" t="s">
        <v>40</v>
      </c>
      <c r="AJ259" t="s">
        <v>40</v>
      </c>
      <c r="AK259" t="s">
        <v>40</v>
      </c>
      <c r="AL259" t="s">
        <v>40</v>
      </c>
      <c r="AM259" t="s">
        <v>40</v>
      </c>
    </row>
    <row r="260" spans="1:39" x14ac:dyDescent="0.2">
      <c r="A260" s="4" t="s">
        <v>948</v>
      </c>
      <c r="B260" s="4" t="s">
        <v>949</v>
      </c>
      <c r="C260" s="4" t="s">
        <v>40</v>
      </c>
      <c r="D260" s="4" t="s">
        <v>40</v>
      </c>
      <c r="E260" s="4" t="s">
        <v>40</v>
      </c>
      <c r="F260" t="s">
        <v>40</v>
      </c>
      <c r="G260" t="s">
        <v>948</v>
      </c>
      <c r="H260" t="s">
        <v>40</v>
      </c>
      <c r="I260" t="s">
        <v>40</v>
      </c>
      <c r="J260" t="s">
        <v>40</v>
      </c>
      <c r="K260" t="s">
        <v>40</v>
      </c>
      <c r="L260" t="s">
        <v>40</v>
      </c>
      <c r="M260">
        <v>0</v>
      </c>
      <c r="N260">
        <v>500</v>
      </c>
      <c r="O260">
        <v>2</v>
      </c>
      <c r="P260">
        <v>30</v>
      </c>
      <c r="Q260" t="s">
        <v>77</v>
      </c>
      <c r="R260" t="b">
        <v>0</v>
      </c>
      <c r="S260" t="s">
        <v>40</v>
      </c>
      <c r="T260" t="s">
        <v>49</v>
      </c>
      <c r="U260" t="s">
        <v>229</v>
      </c>
      <c r="V260" s="2">
        <v>45069.364942129701</v>
      </c>
      <c r="W260" t="s">
        <v>40</v>
      </c>
      <c r="X260">
        <v>0</v>
      </c>
      <c r="Y260" t="s">
        <v>40</v>
      </c>
      <c r="Z260" t="s">
        <v>40</v>
      </c>
      <c r="AA260" t="s">
        <v>40</v>
      </c>
      <c r="AB260">
        <v>1</v>
      </c>
      <c r="AC260" t="s">
        <v>49</v>
      </c>
      <c r="AD260" t="s">
        <v>40</v>
      </c>
      <c r="AE260" t="s">
        <v>40</v>
      </c>
      <c r="AF260" t="s">
        <v>40</v>
      </c>
      <c r="AG260" t="s">
        <v>40</v>
      </c>
      <c r="AH260" t="s">
        <v>40</v>
      </c>
      <c r="AI260" t="s">
        <v>40</v>
      </c>
      <c r="AJ260" t="s">
        <v>40</v>
      </c>
      <c r="AK260" t="s">
        <v>40</v>
      </c>
      <c r="AL260" t="s">
        <v>40</v>
      </c>
      <c r="AM260" t="s">
        <v>40</v>
      </c>
    </row>
    <row r="261" spans="1:39" x14ac:dyDescent="0.2">
      <c r="A261" s="4" t="s">
        <v>950</v>
      </c>
      <c r="B261" s="4" t="s">
        <v>951</v>
      </c>
      <c r="C261" s="4" t="s">
        <v>952</v>
      </c>
      <c r="D261" s="4" t="s">
        <v>953</v>
      </c>
      <c r="E261" s="4" t="s">
        <v>953</v>
      </c>
      <c r="F261" t="s">
        <v>954</v>
      </c>
      <c r="G261" t="s">
        <v>955</v>
      </c>
      <c r="H261" t="s">
        <v>956</v>
      </c>
      <c r="I261" t="s">
        <v>40</v>
      </c>
      <c r="J261" t="s">
        <v>40</v>
      </c>
      <c r="K261" t="s">
        <v>40</v>
      </c>
      <c r="L261" t="s">
        <v>40</v>
      </c>
      <c r="M261">
        <v>0</v>
      </c>
      <c r="N261">
        <v>500</v>
      </c>
      <c r="O261">
        <v>1</v>
      </c>
      <c r="P261">
        <v>0</v>
      </c>
      <c r="Q261" t="s">
        <v>77</v>
      </c>
      <c r="R261" t="b">
        <v>0</v>
      </c>
      <c r="S261" t="s">
        <v>40</v>
      </c>
      <c r="T261" t="s">
        <v>49</v>
      </c>
      <c r="U261" t="s">
        <v>229</v>
      </c>
      <c r="V261" s="2">
        <v>45069.392685185187</v>
      </c>
      <c r="W261" t="s">
        <v>40</v>
      </c>
      <c r="X261">
        <v>0</v>
      </c>
      <c r="Y261" t="s">
        <v>40</v>
      </c>
      <c r="Z261" t="s">
        <v>40</v>
      </c>
      <c r="AA261" t="s">
        <v>40</v>
      </c>
      <c r="AB261">
        <v>1</v>
      </c>
      <c r="AC261" t="s">
        <v>49</v>
      </c>
      <c r="AD261" t="s">
        <v>40</v>
      </c>
      <c r="AE261" t="s">
        <v>40</v>
      </c>
      <c r="AF261" t="s">
        <v>40</v>
      </c>
      <c r="AG261" t="s">
        <v>40</v>
      </c>
      <c r="AH261" t="s">
        <v>40</v>
      </c>
      <c r="AI261" t="s">
        <v>40</v>
      </c>
      <c r="AJ261" t="s">
        <v>40</v>
      </c>
      <c r="AK261" t="s">
        <v>40</v>
      </c>
      <c r="AL261" t="s">
        <v>40</v>
      </c>
      <c r="AM261" t="s">
        <v>40</v>
      </c>
    </row>
    <row r="262" spans="1:39" x14ac:dyDescent="0.2">
      <c r="A262" s="4" t="s">
        <v>957</v>
      </c>
      <c r="B262" s="4" t="s">
        <v>1628</v>
      </c>
      <c r="C262" s="4" t="s">
        <v>958</v>
      </c>
      <c r="D262" s="4" t="s">
        <v>863</v>
      </c>
      <c r="E262" s="4" t="s">
        <v>40</v>
      </c>
      <c r="F262" t="s">
        <v>959</v>
      </c>
      <c r="G262" t="s">
        <v>960</v>
      </c>
      <c r="H262" t="s">
        <v>934</v>
      </c>
      <c r="I262" t="s">
        <v>40</v>
      </c>
      <c r="J262" t="s">
        <v>40</v>
      </c>
      <c r="K262" t="s">
        <v>40</v>
      </c>
      <c r="L262" t="s">
        <v>40</v>
      </c>
      <c r="M262">
        <v>0</v>
      </c>
      <c r="N262">
        <v>1000</v>
      </c>
      <c r="O262">
        <v>1</v>
      </c>
      <c r="P262">
        <v>0</v>
      </c>
      <c r="Q262" t="s">
        <v>77</v>
      </c>
      <c r="R262" t="b">
        <v>0</v>
      </c>
      <c r="S262" t="s">
        <v>40</v>
      </c>
      <c r="T262">
        <v>45097</v>
      </c>
      <c r="U262" t="s">
        <v>229</v>
      </c>
      <c r="V262" s="2">
        <v>45069.563726840075</v>
      </c>
      <c r="W262" t="s">
        <v>40</v>
      </c>
      <c r="X262">
        <v>0</v>
      </c>
      <c r="Y262" t="s">
        <v>40</v>
      </c>
      <c r="Z262" t="s">
        <v>40</v>
      </c>
      <c r="AA262" t="s">
        <v>40</v>
      </c>
      <c r="AB262">
        <v>0</v>
      </c>
      <c r="AC262" t="s">
        <v>49</v>
      </c>
      <c r="AD262" t="s">
        <v>40</v>
      </c>
      <c r="AE262" t="s">
        <v>40</v>
      </c>
      <c r="AF262" t="s">
        <v>40</v>
      </c>
      <c r="AG262" t="s">
        <v>40</v>
      </c>
      <c r="AH262" t="s">
        <v>40</v>
      </c>
      <c r="AI262" t="s">
        <v>40</v>
      </c>
      <c r="AJ262" t="s">
        <v>40</v>
      </c>
      <c r="AK262" t="s">
        <v>40</v>
      </c>
      <c r="AL262" t="s">
        <v>40</v>
      </c>
      <c r="AM262" t="s">
        <v>40</v>
      </c>
    </row>
    <row r="263" spans="1:39" x14ac:dyDescent="0.2">
      <c r="A263" s="4" t="s">
        <v>961</v>
      </c>
      <c r="B263" s="4" t="s">
        <v>962</v>
      </c>
      <c r="C263" s="4" t="s">
        <v>40</v>
      </c>
      <c r="D263" s="4" t="s">
        <v>40</v>
      </c>
      <c r="E263" s="4" t="s">
        <v>40</v>
      </c>
      <c r="F263" t="s">
        <v>40</v>
      </c>
      <c r="G263" t="s">
        <v>961</v>
      </c>
      <c r="H263" t="s">
        <v>40</v>
      </c>
      <c r="I263" t="s">
        <v>40</v>
      </c>
      <c r="J263" t="s">
        <v>40</v>
      </c>
      <c r="K263" t="s">
        <v>40</v>
      </c>
      <c r="L263" t="s">
        <v>40</v>
      </c>
      <c r="M263">
        <v>-29.400000000000002</v>
      </c>
      <c r="N263">
        <v>500</v>
      </c>
      <c r="O263">
        <v>2</v>
      </c>
      <c r="P263">
        <v>30</v>
      </c>
      <c r="Q263" t="s">
        <v>77</v>
      </c>
      <c r="R263" t="b">
        <v>0</v>
      </c>
      <c r="S263" t="s">
        <v>40</v>
      </c>
      <c r="T263">
        <v>45310</v>
      </c>
      <c r="U263" t="s">
        <v>229</v>
      </c>
      <c r="V263" s="2">
        <v>45069.586423611268</v>
      </c>
      <c r="W263" t="s">
        <v>40</v>
      </c>
      <c r="X263">
        <v>0</v>
      </c>
      <c r="Y263" t="s">
        <v>40</v>
      </c>
      <c r="Z263" t="s">
        <v>40</v>
      </c>
      <c r="AA263" t="s">
        <v>40</v>
      </c>
      <c r="AB263">
        <v>1</v>
      </c>
      <c r="AC263" t="s">
        <v>49</v>
      </c>
      <c r="AD263" t="s">
        <v>40</v>
      </c>
      <c r="AE263" t="s">
        <v>40</v>
      </c>
      <c r="AF263" t="s">
        <v>40</v>
      </c>
      <c r="AG263" t="s">
        <v>40</v>
      </c>
      <c r="AH263" t="s">
        <v>40</v>
      </c>
      <c r="AI263" t="s">
        <v>40</v>
      </c>
      <c r="AJ263" t="s">
        <v>40</v>
      </c>
      <c r="AK263" t="s">
        <v>40</v>
      </c>
      <c r="AL263" t="s">
        <v>40</v>
      </c>
      <c r="AM263" t="s">
        <v>40</v>
      </c>
    </row>
    <row r="264" spans="1:39" x14ac:dyDescent="0.2">
      <c r="A264" s="4" t="s">
        <v>963</v>
      </c>
      <c r="B264" s="4" t="s">
        <v>964</v>
      </c>
      <c r="C264" s="4" t="s">
        <v>40</v>
      </c>
      <c r="D264" s="4" t="s">
        <v>40</v>
      </c>
      <c r="E264" s="4" t="s">
        <v>40</v>
      </c>
      <c r="F264" t="s">
        <v>40</v>
      </c>
      <c r="G264" t="s">
        <v>963</v>
      </c>
      <c r="H264" t="s">
        <v>40</v>
      </c>
      <c r="I264" t="s">
        <v>40</v>
      </c>
      <c r="J264" t="s">
        <v>40</v>
      </c>
      <c r="K264" t="s">
        <v>40</v>
      </c>
      <c r="L264" t="s">
        <v>40</v>
      </c>
      <c r="M264">
        <v>14.5</v>
      </c>
      <c r="N264">
        <v>500</v>
      </c>
      <c r="O264">
        <v>2</v>
      </c>
      <c r="P264">
        <v>30</v>
      </c>
      <c r="Q264" t="s">
        <v>77</v>
      </c>
      <c r="R264" t="b">
        <v>0</v>
      </c>
      <c r="S264" t="s">
        <v>40</v>
      </c>
      <c r="T264">
        <v>45308</v>
      </c>
      <c r="U264" t="s">
        <v>229</v>
      </c>
      <c r="V264" s="2">
        <v>45069.614016192034</v>
      </c>
      <c r="W264" t="s">
        <v>40</v>
      </c>
      <c r="X264">
        <v>0</v>
      </c>
      <c r="Y264" t="s">
        <v>40</v>
      </c>
      <c r="Z264" t="s">
        <v>40</v>
      </c>
      <c r="AA264" t="s">
        <v>40</v>
      </c>
      <c r="AB264">
        <v>1</v>
      </c>
      <c r="AC264" t="s">
        <v>49</v>
      </c>
      <c r="AD264" t="s">
        <v>40</v>
      </c>
      <c r="AE264" t="s">
        <v>40</v>
      </c>
      <c r="AF264" t="s">
        <v>40</v>
      </c>
      <c r="AG264" t="s">
        <v>40</v>
      </c>
      <c r="AH264" t="s">
        <v>40</v>
      </c>
      <c r="AI264" t="s">
        <v>40</v>
      </c>
      <c r="AJ264" t="s">
        <v>40</v>
      </c>
      <c r="AK264" t="s">
        <v>40</v>
      </c>
      <c r="AL264" t="s">
        <v>40</v>
      </c>
      <c r="AM264" t="s">
        <v>40</v>
      </c>
    </row>
    <row r="265" spans="1:39" x14ac:dyDescent="0.2">
      <c r="A265" s="4" t="s">
        <v>965</v>
      </c>
      <c r="B265" s="4" t="s">
        <v>966</v>
      </c>
      <c r="C265" s="4" t="s">
        <v>40</v>
      </c>
      <c r="D265" s="4" t="s">
        <v>40</v>
      </c>
      <c r="E265" s="4" t="s">
        <v>40</v>
      </c>
      <c r="F265" t="s">
        <v>40</v>
      </c>
      <c r="G265" t="s">
        <v>965</v>
      </c>
      <c r="H265" t="s">
        <v>40</v>
      </c>
      <c r="I265" t="s">
        <v>40</v>
      </c>
      <c r="J265" t="s">
        <v>40</v>
      </c>
      <c r="K265" t="s">
        <v>40</v>
      </c>
      <c r="L265" t="s">
        <v>40</v>
      </c>
      <c r="M265">
        <v>14.700000000000001</v>
      </c>
      <c r="N265">
        <v>500</v>
      </c>
      <c r="O265">
        <v>2</v>
      </c>
      <c r="P265">
        <v>30</v>
      </c>
      <c r="Q265" t="s">
        <v>77</v>
      </c>
      <c r="R265" t="b">
        <v>0</v>
      </c>
      <c r="S265" t="s">
        <v>40</v>
      </c>
      <c r="T265">
        <v>45034</v>
      </c>
      <c r="U265" t="s">
        <v>229</v>
      </c>
      <c r="V265" s="2">
        <v>45069.622974525671</v>
      </c>
      <c r="W265" t="s">
        <v>40</v>
      </c>
      <c r="X265">
        <v>0</v>
      </c>
      <c r="Y265" t="s">
        <v>40</v>
      </c>
      <c r="Z265" t="s">
        <v>40</v>
      </c>
      <c r="AA265" t="s">
        <v>40</v>
      </c>
      <c r="AB265">
        <v>1</v>
      </c>
      <c r="AC265" t="s">
        <v>49</v>
      </c>
      <c r="AD265" t="s">
        <v>40</v>
      </c>
      <c r="AE265" t="s">
        <v>40</v>
      </c>
      <c r="AF265" t="s">
        <v>40</v>
      </c>
      <c r="AG265" t="s">
        <v>40</v>
      </c>
      <c r="AH265" t="s">
        <v>40</v>
      </c>
      <c r="AI265" t="s">
        <v>40</v>
      </c>
      <c r="AJ265" t="s">
        <v>40</v>
      </c>
      <c r="AK265" t="s">
        <v>40</v>
      </c>
      <c r="AL265" t="s">
        <v>40</v>
      </c>
      <c r="AM265" t="s">
        <v>40</v>
      </c>
    </row>
    <row r="266" spans="1:39" x14ac:dyDescent="0.2">
      <c r="A266" s="4" t="s">
        <v>967</v>
      </c>
      <c r="B266" s="4" t="s">
        <v>1629</v>
      </c>
      <c r="C266" s="4" t="s">
        <v>968</v>
      </c>
      <c r="D266" s="4" t="s">
        <v>556</v>
      </c>
      <c r="E266" s="4" t="s">
        <v>51</v>
      </c>
      <c r="F266" t="s">
        <v>969</v>
      </c>
      <c r="G266" t="s">
        <v>970</v>
      </c>
      <c r="H266" t="s">
        <v>971</v>
      </c>
      <c r="I266" t="s">
        <v>40</v>
      </c>
      <c r="J266" t="s">
        <v>40</v>
      </c>
      <c r="K266" t="s">
        <v>40</v>
      </c>
      <c r="L266" t="s">
        <v>40</v>
      </c>
      <c r="M266">
        <v>0</v>
      </c>
      <c r="N266">
        <v>0</v>
      </c>
      <c r="O266">
        <v>1</v>
      </c>
      <c r="P266">
        <v>0</v>
      </c>
      <c r="Q266" t="s">
        <v>77</v>
      </c>
      <c r="R266" t="b">
        <v>0</v>
      </c>
      <c r="S266" t="s">
        <v>40</v>
      </c>
      <c r="T266" s="1" t="s">
        <v>49</v>
      </c>
      <c r="U266" t="s">
        <v>229</v>
      </c>
      <c r="V266" s="2">
        <v>45073.546655081213</v>
      </c>
      <c r="W266" t="s">
        <v>40</v>
      </c>
      <c r="X266">
        <v>0</v>
      </c>
      <c r="Y266" t="s">
        <v>40</v>
      </c>
      <c r="Z266" t="s">
        <v>40</v>
      </c>
      <c r="AA266" t="s">
        <v>40</v>
      </c>
      <c r="AB266">
        <v>2</v>
      </c>
      <c r="AC266" t="s">
        <v>49</v>
      </c>
      <c r="AD266" t="s">
        <v>40</v>
      </c>
      <c r="AE266" t="s">
        <v>40</v>
      </c>
      <c r="AF266" t="s">
        <v>40</v>
      </c>
      <c r="AG266" t="s">
        <v>40</v>
      </c>
      <c r="AH266" t="s">
        <v>40</v>
      </c>
      <c r="AI266" t="s">
        <v>40</v>
      </c>
      <c r="AJ266" t="s">
        <v>40</v>
      </c>
      <c r="AK266" t="s">
        <v>40</v>
      </c>
      <c r="AL266" t="s">
        <v>40</v>
      </c>
      <c r="AM266" t="s">
        <v>40</v>
      </c>
    </row>
    <row r="267" spans="1:39" x14ac:dyDescent="0.2">
      <c r="A267" s="4" t="s">
        <v>972</v>
      </c>
      <c r="B267" s="4" t="s">
        <v>973</v>
      </c>
      <c r="C267" s="4" t="s">
        <v>40</v>
      </c>
      <c r="D267" s="4" t="s">
        <v>40</v>
      </c>
      <c r="E267" s="4" t="s">
        <v>40</v>
      </c>
      <c r="F267" t="s">
        <v>40</v>
      </c>
      <c r="G267" t="s">
        <v>972</v>
      </c>
      <c r="H267" t="s">
        <v>40</v>
      </c>
      <c r="I267" t="s">
        <v>40</v>
      </c>
      <c r="J267" t="s">
        <v>40</v>
      </c>
      <c r="K267" t="s">
        <v>40</v>
      </c>
      <c r="L267" t="s">
        <v>40</v>
      </c>
      <c r="M267">
        <v>47.25</v>
      </c>
      <c r="N267">
        <v>500</v>
      </c>
      <c r="O267">
        <v>2</v>
      </c>
      <c r="P267">
        <v>30</v>
      </c>
      <c r="Q267" t="s">
        <v>77</v>
      </c>
      <c r="R267" t="b">
        <v>0</v>
      </c>
      <c r="S267" t="s">
        <v>40</v>
      </c>
      <c r="T267" t="s">
        <v>49</v>
      </c>
      <c r="U267" t="s">
        <v>229</v>
      </c>
      <c r="V267" s="2">
        <v>45073.6015625</v>
      </c>
      <c r="W267" t="s">
        <v>40</v>
      </c>
      <c r="X267">
        <v>0</v>
      </c>
      <c r="Y267" t="s">
        <v>40</v>
      </c>
      <c r="Z267" t="s">
        <v>40</v>
      </c>
      <c r="AA267" t="s">
        <v>40</v>
      </c>
      <c r="AB267">
        <v>0</v>
      </c>
      <c r="AC267" t="s">
        <v>49</v>
      </c>
      <c r="AD267" t="s">
        <v>40</v>
      </c>
      <c r="AE267" t="s">
        <v>40</v>
      </c>
      <c r="AF267" t="s">
        <v>40</v>
      </c>
      <c r="AG267" t="s">
        <v>40</v>
      </c>
      <c r="AH267" t="s">
        <v>40</v>
      </c>
      <c r="AI267" t="s">
        <v>40</v>
      </c>
      <c r="AJ267" t="s">
        <v>40</v>
      </c>
      <c r="AK267" t="s">
        <v>40</v>
      </c>
      <c r="AL267" t="s">
        <v>40</v>
      </c>
      <c r="AM267" t="s">
        <v>40</v>
      </c>
    </row>
    <row r="268" spans="1:39" x14ac:dyDescent="0.2">
      <c r="A268" s="4" t="s">
        <v>974</v>
      </c>
      <c r="B268" s="4" t="s">
        <v>1630</v>
      </c>
      <c r="C268" s="4" t="s">
        <v>975</v>
      </c>
      <c r="D268" s="4" t="s">
        <v>225</v>
      </c>
      <c r="E268" s="4" t="s">
        <v>225</v>
      </c>
      <c r="F268" t="s">
        <v>40</v>
      </c>
      <c r="G268" t="s">
        <v>976</v>
      </c>
      <c r="H268" t="s">
        <v>977</v>
      </c>
      <c r="I268" t="s">
        <v>40</v>
      </c>
      <c r="J268" t="s">
        <v>40</v>
      </c>
      <c r="K268" t="s">
        <v>40</v>
      </c>
      <c r="L268" t="s">
        <v>40</v>
      </c>
      <c r="M268">
        <v>0</v>
      </c>
      <c r="N268">
        <v>500</v>
      </c>
      <c r="O268">
        <v>1</v>
      </c>
      <c r="P268">
        <v>0</v>
      </c>
      <c r="Q268" t="s">
        <v>77</v>
      </c>
      <c r="R268" t="b">
        <v>0</v>
      </c>
      <c r="S268" t="s">
        <v>40</v>
      </c>
      <c r="T268" t="s">
        <v>49</v>
      </c>
      <c r="U268" t="s">
        <v>229</v>
      </c>
      <c r="V268" s="2">
        <v>45075.399212951306</v>
      </c>
      <c r="W268" t="s">
        <v>40</v>
      </c>
      <c r="X268">
        <v>0</v>
      </c>
      <c r="Y268" t="s">
        <v>40</v>
      </c>
      <c r="Z268" t="s">
        <v>40</v>
      </c>
      <c r="AA268" t="s">
        <v>40</v>
      </c>
      <c r="AB268">
        <v>2</v>
      </c>
      <c r="AC268" t="s">
        <v>49</v>
      </c>
      <c r="AD268" t="s">
        <v>40</v>
      </c>
      <c r="AE268" t="s">
        <v>40</v>
      </c>
      <c r="AF268" t="s">
        <v>40</v>
      </c>
      <c r="AG268" t="s">
        <v>40</v>
      </c>
      <c r="AH268" t="s">
        <v>40</v>
      </c>
      <c r="AI268" t="s">
        <v>40</v>
      </c>
      <c r="AJ268" t="s">
        <v>40</v>
      </c>
      <c r="AK268" t="s">
        <v>40</v>
      </c>
      <c r="AL268" t="s">
        <v>40</v>
      </c>
      <c r="AM268" t="s">
        <v>40</v>
      </c>
    </row>
    <row r="269" spans="1:39" x14ac:dyDescent="0.2">
      <c r="A269" s="4" t="s">
        <v>978</v>
      </c>
      <c r="B269" s="4" t="s">
        <v>1631</v>
      </c>
      <c r="C269" s="4" t="s">
        <v>979</v>
      </c>
      <c r="D269" s="4" t="s">
        <v>40</v>
      </c>
      <c r="E269" s="4" t="s">
        <v>40</v>
      </c>
      <c r="F269" t="s">
        <v>40</v>
      </c>
      <c r="G269" t="s">
        <v>978</v>
      </c>
      <c r="H269" t="s">
        <v>980</v>
      </c>
      <c r="I269" t="s">
        <v>40</v>
      </c>
      <c r="J269" t="s">
        <v>40</v>
      </c>
      <c r="K269" t="s">
        <v>40</v>
      </c>
      <c r="L269" t="s">
        <v>40</v>
      </c>
      <c r="M269">
        <v>0</v>
      </c>
      <c r="N269">
        <v>500</v>
      </c>
      <c r="O269">
        <v>1</v>
      </c>
      <c r="P269">
        <v>0</v>
      </c>
      <c r="Q269" t="s">
        <v>77</v>
      </c>
      <c r="R269" t="b">
        <v>0</v>
      </c>
      <c r="S269" t="s">
        <v>40</v>
      </c>
      <c r="T269" t="s">
        <v>49</v>
      </c>
      <c r="U269" t="s">
        <v>229</v>
      </c>
      <c r="V269" s="2">
        <v>45080.521944444627</v>
      </c>
      <c r="W269" t="s">
        <v>40</v>
      </c>
      <c r="X269">
        <v>0</v>
      </c>
      <c r="Y269" t="s">
        <v>40</v>
      </c>
      <c r="Z269" t="s">
        <v>40</v>
      </c>
      <c r="AA269" t="s">
        <v>40</v>
      </c>
      <c r="AB269">
        <v>2</v>
      </c>
      <c r="AC269" t="s">
        <v>49</v>
      </c>
      <c r="AD269" t="s">
        <v>40</v>
      </c>
      <c r="AE269" t="s">
        <v>40</v>
      </c>
      <c r="AF269" t="s">
        <v>40</v>
      </c>
      <c r="AG269" t="s">
        <v>40</v>
      </c>
      <c r="AH269" t="s">
        <v>40</v>
      </c>
      <c r="AI269" t="s">
        <v>40</v>
      </c>
      <c r="AJ269" t="s">
        <v>40</v>
      </c>
      <c r="AK269" t="s">
        <v>40</v>
      </c>
      <c r="AL269" t="s">
        <v>40</v>
      </c>
      <c r="AM269" t="s">
        <v>40</v>
      </c>
    </row>
    <row r="270" spans="1:39" x14ac:dyDescent="0.2">
      <c r="A270" s="4" t="s">
        <v>981</v>
      </c>
      <c r="B270" s="4" t="s">
        <v>1632</v>
      </c>
      <c r="C270" s="4" t="s">
        <v>982</v>
      </c>
      <c r="D270" s="4" t="s">
        <v>225</v>
      </c>
      <c r="E270" s="4" t="s">
        <v>225</v>
      </c>
      <c r="F270" t="s">
        <v>983</v>
      </c>
      <c r="G270" t="s">
        <v>984</v>
      </c>
      <c r="H270" t="s">
        <v>985</v>
      </c>
      <c r="I270" t="s">
        <v>40</v>
      </c>
      <c r="J270" t="s">
        <v>40</v>
      </c>
      <c r="K270" t="s">
        <v>40</v>
      </c>
      <c r="L270" t="s">
        <v>40</v>
      </c>
      <c r="M270">
        <v>0</v>
      </c>
      <c r="N270">
        <v>1000</v>
      </c>
      <c r="O270">
        <v>1</v>
      </c>
      <c r="P270">
        <v>0</v>
      </c>
      <c r="Q270" t="s">
        <v>77</v>
      </c>
      <c r="R270" t="b">
        <v>0</v>
      </c>
      <c r="S270" t="s">
        <v>40</v>
      </c>
      <c r="T270" t="s">
        <v>49</v>
      </c>
      <c r="U270" t="s">
        <v>229</v>
      </c>
      <c r="V270" s="2">
        <v>45082.368171284907</v>
      </c>
      <c r="W270" t="s">
        <v>40</v>
      </c>
      <c r="X270">
        <v>0</v>
      </c>
      <c r="Y270" t="s">
        <v>40</v>
      </c>
      <c r="Z270" t="s">
        <v>40</v>
      </c>
      <c r="AA270" t="s">
        <v>40</v>
      </c>
      <c r="AB270">
        <v>0</v>
      </c>
      <c r="AC270" t="s">
        <v>49</v>
      </c>
      <c r="AD270" t="s">
        <v>40</v>
      </c>
      <c r="AE270" t="s">
        <v>40</v>
      </c>
      <c r="AF270" t="s">
        <v>40</v>
      </c>
      <c r="AG270" t="s">
        <v>40</v>
      </c>
      <c r="AH270" t="s">
        <v>40</v>
      </c>
      <c r="AI270" t="s">
        <v>40</v>
      </c>
      <c r="AJ270" t="s">
        <v>40</v>
      </c>
      <c r="AK270" t="s">
        <v>40</v>
      </c>
      <c r="AL270" t="s">
        <v>40</v>
      </c>
      <c r="AM270" t="s">
        <v>40</v>
      </c>
    </row>
    <row r="271" spans="1:39" x14ac:dyDescent="0.2">
      <c r="A271" s="4" t="s">
        <v>986</v>
      </c>
      <c r="B271" s="4" t="s">
        <v>1633</v>
      </c>
      <c r="C271" s="4" t="s">
        <v>863</v>
      </c>
      <c r="D271" s="4" t="s">
        <v>863</v>
      </c>
      <c r="E271" s="4" t="s">
        <v>40</v>
      </c>
      <c r="F271" t="s">
        <v>40</v>
      </c>
      <c r="G271" t="s">
        <v>987</v>
      </c>
      <c r="H271" t="s">
        <v>988</v>
      </c>
      <c r="I271" t="s">
        <v>40</v>
      </c>
      <c r="J271" t="s">
        <v>40</v>
      </c>
      <c r="K271" t="s">
        <v>40</v>
      </c>
      <c r="L271" t="s">
        <v>40</v>
      </c>
      <c r="M271">
        <v>0</v>
      </c>
      <c r="N271">
        <v>1000</v>
      </c>
      <c r="O271">
        <v>1</v>
      </c>
      <c r="P271">
        <v>0</v>
      </c>
      <c r="Q271" t="s">
        <v>77</v>
      </c>
      <c r="R271" t="b">
        <v>0</v>
      </c>
      <c r="S271" t="s">
        <v>40</v>
      </c>
      <c r="T271" t="s">
        <v>49</v>
      </c>
      <c r="U271" t="s">
        <v>229</v>
      </c>
      <c r="V271" s="2">
        <v>45084.498495358974</v>
      </c>
      <c r="W271" t="s">
        <v>40</v>
      </c>
      <c r="X271">
        <v>0</v>
      </c>
      <c r="Y271" t="s">
        <v>40</v>
      </c>
      <c r="Z271" t="s">
        <v>40</v>
      </c>
      <c r="AA271" t="s">
        <v>40</v>
      </c>
      <c r="AB271">
        <v>2</v>
      </c>
      <c r="AC271" t="s">
        <v>49</v>
      </c>
      <c r="AD271" t="s">
        <v>40</v>
      </c>
      <c r="AE271" t="s">
        <v>40</v>
      </c>
      <c r="AF271" t="s">
        <v>40</v>
      </c>
      <c r="AG271" t="s">
        <v>40</v>
      </c>
      <c r="AH271" t="s">
        <v>40</v>
      </c>
      <c r="AI271" t="s">
        <v>40</v>
      </c>
      <c r="AJ271" t="s">
        <v>40</v>
      </c>
      <c r="AK271" t="s">
        <v>40</v>
      </c>
      <c r="AL271" t="s">
        <v>40</v>
      </c>
      <c r="AM271" t="s">
        <v>40</v>
      </c>
    </row>
    <row r="272" spans="1:39" x14ac:dyDescent="0.2">
      <c r="A272" s="4" t="s">
        <v>989</v>
      </c>
      <c r="B272" s="4" t="s">
        <v>1634</v>
      </c>
      <c r="C272" s="4" t="s">
        <v>863</v>
      </c>
      <c r="D272" s="4" t="s">
        <v>863</v>
      </c>
      <c r="E272" s="4" t="s">
        <v>990</v>
      </c>
      <c r="F272" t="s">
        <v>40</v>
      </c>
      <c r="G272" t="s">
        <v>991</v>
      </c>
      <c r="H272" t="s">
        <v>992</v>
      </c>
      <c r="I272" t="s">
        <v>40</v>
      </c>
      <c r="J272" t="s">
        <v>40</v>
      </c>
      <c r="K272" t="s">
        <v>40</v>
      </c>
      <c r="L272" t="s">
        <v>40</v>
      </c>
      <c r="M272">
        <v>0</v>
      </c>
      <c r="N272">
        <v>1000</v>
      </c>
      <c r="O272">
        <v>1</v>
      </c>
      <c r="P272">
        <v>0</v>
      </c>
      <c r="Q272" t="s">
        <v>77</v>
      </c>
      <c r="R272" t="b">
        <v>0</v>
      </c>
      <c r="S272" t="s">
        <v>40</v>
      </c>
      <c r="T272" t="s">
        <v>49</v>
      </c>
      <c r="U272" t="s">
        <v>229</v>
      </c>
      <c r="V272" s="2">
        <v>45086.486122673843</v>
      </c>
      <c r="W272" t="s">
        <v>40</v>
      </c>
      <c r="X272">
        <v>0</v>
      </c>
      <c r="Y272" t="s">
        <v>40</v>
      </c>
      <c r="Z272" t="s">
        <v>40</v>
      </c>
      <c r="AA272" t="s">
        <v>40</v>
      </c>
      <c r="AB272">
        <v>2</v>
      </c>
      <c r="AC272" t="s">
        <v>49</v>
      </c>
      <c r="AD272" t="s">
        <v>40</v>
      </c>
      <c r="AE272" t="s">
        <v>40</v>
      </c>
      <c r="AF272" t="s">
        <v>40</v>
      </c>
      <c r="AG272" t="s">
        <v>40</v>
      </c>
      <c r="AH272" t="s">
        <v>40</v>
      </c>
      <c r="AI272" t="s">
        <v>40</v>
      </c>
      <c r="AJ272" t="s">
        <v>40</v>
      </c>
      <c r="AK272" t="s">
        <v>40</v>
      </c>
      <c r="AL272" t="s">
        <v>40</v>
      </c>
      <c r="AM272" t="s">
        <v>40</v>
      </c>
    </row>
    <row r="273" spans="1:39" x14ac:dyDescent="0.2">
      <c r="A273" s="4" t="s">
        <v>993</v>
      </c>
      <c r="B273" s="4" t="s">
        <v>994</v>
      </c>
      <c r="C273" s="4" t="s">
        <v>863</v>
      </c>
      <c r="D273" s="4" t="s">
        <v>863</v>
      </c>
      <c r="E273" s="4" t="s">
        <v>995</v>
      </c>
      <c r="F273" t="s">
        <v>996</v>
      </c>
      <c r="G273" t="s">
        <v>997</v>
      </c>
      <c r="H273" t="s">
        <v>998</v>
      </c>
      <c r="I273" t="s">
        <v>40</v>
      </c>
      <c r="J273" t="s">
        <v>40</v>
      </c>
      <c r="K273" t="s">
        <v>40</v>
      </c>
      <c r="L273" t="s">
        <v>40</v>
      </c>
      <c r="M273">
        <v>0</v>
      </c>
      <c r="N273">
        <v>500</v>
      </c>
      <c r="O273">
        <v>1</v>
      </c>
      <c r="P273">
        <v>0</v>
      </c>
      <c r="Q273" t="s">
        <v>77</v>
      </c>
      <c r="R273" t="b">
        <v>0</v>
      </c>
      <c r="S273" t="s">
        <v>40</v>
      </c>
      <c r="T273" t="s">
        <v>49</v>
      </c>
      <c r="U273" t="s">
        <v>229</v>
      </c>
      <c r="V273" s="2">
        <v>45087.572858796455</v>
      </c>
      <c r="W273" t="s">
        <v>40</v>
      </c>
      <c r="X273">
        <v>0</v>
      </c>
      <c r="Y273" t="s">
        <v>40</v>
      </c>
      <c r="Z273" t="s">
        <v>40</v>
      </c>
      <c r="AA273" t="s">
        <v>40</v>
      </c>
      <c r="AB273">
        <v>1</v>
      </c>
      <c r="AC273" t="s">
        <v>49</v>
      </c>
      <c r="AD273" t="s">
        <v>40</v>
      </c>
      <c r="AE273" t="s">
        <v>40</v>
      </c>
      <c r="AF273" t="s">
        <v>40</v>
      </c>
      <c r="AG273" t="s">
        <v>40</v>
      </c>
      <c r="AH273" t="s">
        <v>40</v>
      </c>
      <c r="AI273" t="s">
        <v>40</v>
      </c>
      <c r="AJ273" t="s">
        <v>40</v>
      </c>
      <c r="AK273" t="s">
        <v>40</v>
      </c>
      <c r="AL273" t="s">
        <v>40</v>
      </c>
      <c r="AM273" t="s">
        <v>40</v>
      </c>
    </row>
    <row r="274" spans="1:39" x14ac:dyDescent="0.2">
      <c r="A274" s="4" t="s">
        <v>999</v>
      </c>
      <c r="B274" s="4" t="s">
        <v>1000</v>
      </c>
      <c r="C274" s="4" t="s">
        <v>40</v>
      </c>
      <c r="D274" s="4" t="s">
        <v>40</v>
      </c>
      <c r="E274" s="4" t="s">
        <v>40</v>
      </c>
      <c r="F274" t="s">
        <v>40</v>
      </c>
      <c r="G274" t="s">
        <v>999</v>
      </c>
      <c r="H274" t="s">
        <v>40</v>
      </c>
      <c r="I274" t="s">
        <v>40</v>
      </c>
      <c r="J274" t="s">
        <v>40</v>
      </c>
      <c r="K274" t="s">
        <v>40</v>
      </c>
      <c r="L274" t="s">
        <v>40</v>
      </c>
      <c r="M274">
        <v>2.4500000000000002</v>
      </c>
      <c r="N274">
        <v>200</v>
      </c>
      <c r="O274">
        <v>2</v>
      </c>
      <c r="P274">
        <v>30</v>
      </c>
      <c r="Q274" t="s">
        <v>77</v>
      </c>
      <c r="R274" t="b">
        <v>0</v>
      </c>
      <c r="S274" t="s">
        <v>40</v>
      </c>
      <c r="T274" t="s">
        <v>49</v>
      </c>
      <c r="U274" t="s">
        <v>229</v>
      </c>
      <c r="V274" s="2">
        <v>45108.495069444645</v>
      </c>
      <c r="W274" t="s">
        <v>40</v>
      </c>
      <c r="X274">
        <v>0</v>
      </c>
      <c r="Y274" t="s">
        <v>40</v>
      </c>
      <c r="Z274" t="s">
        <v>40</v>
      </c>
      <c r="AA274" t="s">
        <v>40</v>
      </c>
      <c r="AB274">
        <v>1</v>
      </c>
      <c r="AC274" t="s">
        <v>49</v>
      </c>
      <c r="AD274" t="s">
        <v>40</v>
      </c>
      <c r="AE274" t="s">
        <v>40</v>
      </c>
      <c r="AF274" t="s">
        <v>40</v>
      </c>
      <c r="AG274" t="s">
        <v>40</v>
      </c>
      <c r="AH274" t="s">
        <v>40</v>
      </c>
      <c r="AI274" t="s">
        <v>40</v>
      </c>
      <c r="AJ274" t="s">
        <v>40</v>
      </c>
      <c r="AK274" t="s">
        <v>40</v>
      </c>
      <c r="AL274" t="s">
        <v>40</v>
      </c>
      <c r="AM274" t="s">
        <v>40</v>
      </c>
    </row>
    <row r="275" spans="1:39" x14ac:dyDescent="0.2">
      <c r="A275" s="4" t="s">
        <v>1001</v>
      </c>
      <c r="B275" s="4" t="s">
        <v>1002</v>
      </c>
      <c r="C275" s="4" t="s">
        <v>40</v>
      </c>
      <c r="D275" s="4" t="s">
        <v>40</v>
      </c>
      <c r="E275" s="4" t="s">
        <v>40</v>
      </c>
      <c r="F275" t="s">
        <v>40</v>
      </c>
      <c r="G275" t="s">
        <v>1001</v>
      </c>
      <c r="H275" t="s">
        <v>40</v>
      </c>
      <c r="I275" t="s">
        <v>40</v>
      </c>
      <c r="J275" t="s">
        <v>40</v>
      </c>
      <c r="K275" t="s">
        <v>40</v>
      </c>
      <c r="L275" t="s">
        <v>40</v>
      </c>
      <c r="M275">
        <v>0</v>
      </c>
      <c r="N275">
        <v>50</v>
      </c>
      <c r="O275">
        <v>2</v>
      </c>
      <c r="P275">
        <v>30</v>
      </c>
      <c r="Q275" t="s">
        <v>77</v>
      </c>
      <c r="R275" t="b">
        <v>0</v>
      </c>
      <c r="S275" t="s">
        <v>40</v>
      </c>
      <c r="T275">
        <v>45239</v>
      </c>
      <c r="U275" t="s">
        <v>229</v>
      </c>
      <c r="V275" s="2">
        <v>45108.498391191941</v>
      </c>
      <c r="W275" t="s">
        <v>40</v>
      </c>
      <c r="X275">
        <v>0</v>
      </c>
      <c r="Y275" t="s">
        <v>40</v>
      </c>
      <c r="Z275" t="s">
        <v>40</v>
      </c>
      <c r="AA275" t="s">
        <v>40</v>
      </c>
      <c r="AB275">
        <v>0</v>
      </c>
      <c r="AC275" t="s">
        <v>49</v>
      </c>
      <c r="AD275" t="s">
        <v>40</v>
      </c>
      <c r="AE275" t="s">
        <v>40</v>
      </c>
      <c r="AF275" t="s">
        <v>40</v>
      </c>
      <c r="AG275" t="s">
        <v>40</v>
      </c>
      <c r="AH275" t="s">
        <v>40</v>
      </c>
      <c r="AI275" t="s">
        <v>40</v>
      </c>
      <c r="AJ275" t="s">
        <v>40</v>
      </c>
      <c r="AK275" t="s">
        <v>40</v>
      </c>
      <c r="AL275" t="s">
        <v>40</v>
      </c>
      <c r="AM275" t="s">
        <v>40</v>
      </c>
    </row>
    <row r="276" spans="1:39" x14ac:dyDescent="0.2">
      <c r="A276" s="4" t="s">
        <v>1003</v>
      </c>
      <c r="B276" s="4" t="s">
        <v>1004</v>
      </c>
      <c r="C276" s="4" t="s">
        <v>1774</v>
      </c>
      <c r="D276" s="4" t="s">
        <v>51</v>
      </c>
      <c r="E276" s="4" t="s">
        <v>51</v>
      </c>
      <c r="F276" t="s">
        <v>1005</v>
      </c>
      <c r="G276" t="s">
        <v>1003</v>
      </c>
      <c r="H276" t="s">
        <v>1006</v>
      </c>
      <c r="I276" t="s">
        <v>40</v>
      </c>
      <c r="J276" t="s">
        <v>40</v>
      </c>
      <c r="K276" t="s">
        <v>40</v>
      </c>
      <c r="L276" t="s">
        <v>40</v>
      </c>
      <c r="M276">
        <v>602.48</v>
      </c>
      <c r="N276">
        <v>1000</v>
      </c>
      <c r="O276">
        <v>2</v>
      </c>
      <c r="P276">
        <v>30</v>
      </c>
      <c r="Q276" t="s">
        <v>77</v>
      </c>
      <c r="R276" t="b">
        <v>0</v>
      </c>
      <c r="S276" t="s">
        <v>40</v>
      </c>
      <c r="T276">
        <v>45319</v>
      </c>
      <c r="U276" t="s">
        <v>229</v>
      </c>
      <c r="V276" s="2">
        <v>45110.555694444571</v>
      </c>
      <c r="W276" t="s">
        <v>40</v>
      </c>
      <c r="X276">
        <v>0</v>
      </c>
      <c r="Y276" t="s">
        <v>40</v>
      </c>
      <c r="Z276" t="s">
        <v>40</v>
      </c>
      <c r="AA276" t="s">
        <v>40</v>
      </c>
      <c r="AB276">
        <v>0</v>
      </c>
      <c r="AC276" t="s">
        <v>49</v>
      </c>
      <c r="AD276" t="s">
        <v>40</v>
      </c>
      <c r="AE276" t="s">
        <v>40</v>
      </c>
      <c r="AF276" t="s">
        <v>1004</v>
      </c>
      <c r="AG276" t="s">
        <v>40</v>
      </c>
      <c r="AH276" t="s">
        <v>1007</v>
      </c>
      <c r="AI276" t="s">
        <v>1008</v>
      </c>
      <c r="AJ276" t="s">
        <v>46</v>
      </c>
      <c r="AK276" t="s">
        <v>419</v>
      </c>
      <c r="AL276" t="s">
        <v>420</v>
      </c>
      <c r="AM276" t="s">
        <v>421</v>
      </c>
    </row>
    <row r="277" spans="1:39" x14ac:dyDescent="0.2">
      <c r="A277" s="4" t="s">
        <v>1009</v>
      </c>
      <c r="B277" s="4" t="s">
        <v>1010</v>
      </c>
      <c r="C277" s="4" t="s">
        <v>1011</v>
      </c>
      <c r="D277" s="4" t="s">
        <v>40</v>
      </c>
      <c r="E277" s="4" t="s">
        <v>40</v>
      </c>
      <c r="F277" t="s">
        <v>40</v>
      </c>
      <c r="G277" t="s">
        <v>1009</v>
      </c>
      <c r="H277" t="s">
        <v>40</v>
      </c>
      <c r="I277" t="s">
        <v>40</v>
      </c>
      <c r="J277" t="s">
        <v>40</v>
      </c>
      <c r="K277" t="s">
        <v>40</v>
      </c>
      <c r="L277" t="s">
        <v>40</v>
      </c>
      <c r="M277">
        <v>19.600000000000001</v>
      </c>
      <c r="N277">
        <v>200</v>
      </c>
      <c r="O277">
        <v>2</v>
      </c>
      <c r="P277">
        <v>30</v>
      </c>
      <c r="Q277" t="s">
        <v>77</v>
      </c>
      <c r="R277" t="b">
        <v>0</v>
      </c>
      <c r="S277" t="s">
        <v>40</v>
      </c>
      <c r="T277" t="s">
        <v>49</v>
      </c>
      <c r="U277" t="s">
        <v>229</v>
      </c>
      <c r="V277" s="2">
        <v>45118.376956018619</v>
      </c>
      <c r="W277" t="s">
        <v>40</v>
      </c>
      <c r="X277">
        <v>0</v>
      </c>
      <c r="Y277" t="s">
        <v>40</v>
      </c>
      <c r="Z277" t="s">
        <v>40</v>
      </c>
      <c r="AA277" t="s">
        <v>40</v>
      </c>
      <c r="AB277">
        <v>2</v>
      </c>
      <c r="AC277" t="s">
        <v>49</v>
      </c>
      <c r="AD277" t="s">
        <v>40</v>
      </c>
      <c r="AE277" t="s">
        <v>40</v>
      </c>
      <c r="AF277" t="s">
        <v>40</v>
      </c>
      <c r="AG277" t="s">
        <v>40</v>
      </c>
      <c r="AH277" t="s">
        <v>40</v>
      </c>
      <c r="AI277" t="s">
        <v>40</v>
      </c>
      <c r="AJ277" t="s">
        <v>40</v>
      </c>
      <c r="AK277" t="s">
        <v>40</v>
      </c>
      <c r="AL277" t="s">
        <v>40</v>
      </c>
      <c r="AM277" t="s">
        <v>40</v>
      </c>
    </row>
    <row r="278" spans="1:39" x14ac:dyDescent="0.2">
      <c r="A278" s="4" t="s">
        <v>1012</v>
      </c>
      <c r="B278" s="4" t="s">
        <v>1013</v>
      </c>
      <c r="C278" s="4" t="s">
        <v>863</v>
      </c>
      <c r="D278" s="4" t="s">
        <v>863</v>
      </c>
      <c r="E278" s="4" t="s">
        <v>863</v>
      </c>
      <c r="F278" t="s">
        <v>1014</v>
      </c>
      <c r="G278" t="s">
        <v>1015</v>
      </c>
      <c r="H278" t="s">
        <v>1016</v>
      </c>
      <c r="I278" t="s">
        <v>40</v>
      </c>
      <c r="J278" t="s">
        <v>40</v>
      </c>
      <c r="K278" t="s">
        <v>40</v>
      </c>
      <c r="L278" t="s">
        <v>40</v>
      </c>
      <c r="M278">
        <v>0</v>
      </c>
      <c r="N278">
        <v>200</v>
      </c>
      <c r="O278">
        <v>1</v>
      </c>
      <c r="P278">
        <v>0</v>
      </c>
      <c r="Q278" t="s">
        <v>77</v>
      </c>
      <c r="R278" t="b">
        <v>0</v>
      </c>
      <c r="S278" t="s">
        <v>40</v>
      </c>
      <c r="T278" s="1" t="s">
        <v>49</v>
      </c>
      <c r="U278" t="s">
        <v>229</v>
      </c>
      <c r="V278" s="2">
        <v>45120.438576389104</v>
      </c>
      <c r="W278" t="s">
        <v>40</v>
      </c>
      <c r="X278">
        <v>0</v>
      </c>
      <c r="Y278" t="s">
        <v>40</v>
      </c>
      <c r="Z278" t="s">
        <v>40</v>
      </c>
      <c r="AA278" t="s">
        <v>40</v>
      </c>
      <c r="AB278">
        <v>1</v>
      </c>
      <c r="AC278" t="s">
        <v>49</v>
      </c>
      <c r="AD278" t="s">
        <v>40</v>
      </c>
      <c r="AE278" t="s">
        <v>40</v>
      </c>
      <c r="AF278" t="s">
        <v>40</v>
      </c>
      <c r="AG278" t="s">
        <v>40</v>
      </c>
      <c r="AH278" t="s">
        <v>40</v>
      </c>
      <c r="AI278" t="s">
        <v>40</v>
      </c>
      <c r="AJ278" t="s">
        <v>40</v>
      </c>
      <c r="AK278" t="s">
        <v>40</v>
      </c>
      <c r="AL278" t="s">
        <v>40</v>
      </c>
      <c r="AM278" t="s">
        <v>40</v>
      </c>
    </row>
    <row r="279" spans="1:39" x14ac:dyDescent="0.2">
      <c r="A279" s="4" t="s">
        <v>1017</v>
      </c>
      <c r="B279" s="4" t="s">
        <v>1635</v>
      </c>
      <c r="C279" s="4" t="s">
        <v>1018</v>
      </c>
      <c r="D279" s="4" t="s">
        <v>40</v>
      </c>
      <c r="E279" s="4" t="s">
        <v>40</v>
      </c>
      <c r="F279" t="s">
        <v>40</v>
      </c>
      <c r="G279" t="s">
        <v>1019</v>
      </c>
      <c r="H279" t="s">
        <v>1020</v>
      </c>
      <c r="I279" t="s">
        <v>40</v>
      </c>
      <c r="J279" t="s">
        <v>40</v>
      </c>
      <c r="K279" t="s">
        <v>40</v>
      </c>
      <c r="L279" t="s">
        <v>40</v>
      </c>
      <c r="M279">
        <v>0</v>
      </c>
      <c r="N279">
        <v>200</v>
      </c>
      <c r="O279">
        <v>1</v>
      </c>
      <c r="P279">
        <v>0</v>
      </c>
      <c r="Q279" t="s">
        <v>77</v>
      </c>
      <c r="R279" t="b">
        <v>0</v>
      </c>
      <c r="S279" t="s">
        <v>40</v>
      </c>
      <c r="T279" t="s">
        <v>49</v>
      </c>
      <c r="U279" t="s">
        <v>229</v>
      </c>
      <c r="V279" s="2">
        <v>45120.457708321977</v>
      </c>
      <c r="W279" t="s">
        <v>40</v>
      </c>
      <c r="X279">
        <v>0</v>
      </c>
      <c r="Y279" t="s">
        <v>40</v>
      </c>
      <c r="Z279" t="s">
        <v>40</v>
      </c>
      <c r="AA279" t="s">
        <v>40</v>
      </c>
      <c r="AB279">
        <v>2</v>
      </c>
      <c r="AC279" t="s">
        <v>49</v>
      </c>
      <c r="AD279" t="s">
        <v>40</v>
      </c>
      <c r="AE279" t="s">
        <v>40</v>
      </c>
      <c r="AF279" t="s">
        <v>40</v>
      </c>
      <c r="AG279" t="s">
        <v>40</v>
      </c>
      <c r="AH279" t="s">
        <v>40</v>
      </c>
      <c r="AI279" t="s">
        <v>40</v>
      </c>
      <c r="AJ279" t="s">
        <v>40</v>
      </c>
      <c r="AK279" t="s">
        <v>40</v>
      </c>
      <c r="AL279" t="s">
        <v>40</v>
      </c>
      <c r="AM279" t="s">
        <v>40</v>
      </c>
    </row>
    <row r="280" spans="1:39" x14ac:dyDescent="0.2">
      <c r="A280" s="4" t="s">
        <v>1021</v>
      </c>
      <c r="B280" s="4" t="s">
        <v>1636</v>
      </c>
      <c r="C280" s="4" t="s">
        <v>863</v>
      </c>
      <c r="D280" s="4" t="s">
        <v>863</v>
      </c>
      <c r="E280" s="4" t="s">
        <v>863</v>
      </c>
      <c r="F280" t="s">
        <v>1022</v>
      </c>
      <c r="G280" t="s">
        <v>1023</v>
      </c>
      <c r="H280" t="s">
        <v>1024</v>
      </c>
      <c r="I280" t="s">
        <v>40</v>
      </c>
      <c r="J280" t="s">
        <v>40</v>
      </c>
      <c r="K280" t="s">
        <v>40</v>
      </c>
      <c r="L280" t="s">
        <v>40</v>
      </c>
      <c r="M280">
        <v>0</v>
      </c>
      <c r="N280">
        <v>200</v>
      </c>
      <c r="O280">
        <v>1</v>
      </c>
      <c r="P280">
        <v>0</v>
      </c>
      <c r="Q280" t="s">
        <v>77</v>
      </c>
      <c r="R280" t="b">
        <v>0</v>
      </c>
      <c r="S280" t="s">
        <v>40</v>
      </c>
      <c r="T280" t="s">
        <v>49</v>
      </c>
      <c r="U280" t="s">
        <v>229</v>
      </c>
      <c r="V280" s="2">
        <v>45120.478333333507</v>
      </c>
      <c r="W280" t="s">
        <v>40</v>
      </c>
      <c r="X280">
        <v>0</v>
      </c>
      <c r="Y280" t="s">
        <v>40</v>
      </c>
      <c r="Z280" t="s">
        <v>40</v>
      </c>
      <c r="AA280" t="s">
        <v>40</v>
      </c>
      <c r="AB280">
        <v>0</v>
      </c>
      <c r="AC280" t="s">
        <v>49</v>
      </c>
      <c r="AD280" t="s">
        <v>40</v>
      </c>
      <c r="AE280" t="s">
        <v>40</v>
      </c>
      <c r="AF280" t="s">
        <v>40</v>
      </c>
      <c r="AG280" t="s">
        <v>40</v>
      </c>
      <c r="AH280" t="s">
        <v>40</v>
      </c>
      <c r="AI280" t="s">
        <v>40</v>
      </c>
      <c r="AJ280" t="s">
        <v>40</v>
      </c>
      <c r="AK280" t="s">
        <v>40</v>
      </c>
      <c r="AL280" t="s">
        <v>40</v>
      </c>
      <c r="AM280" t="s">
        <v>40</v>
      </c>
    </row>
    <row r="281" spans="1:39" x14ac:dyDescent="0.2">
      <c r="A281" s="4" t="s">
        <v>1025</v>
      </c>
      <c r="B281" s="4" t="s">
        <v>1637</v>
      </c>
      <c r="C281" s="4" t="s">
        <v>863</v>
      </c>
      <c r="D281" s="4" t="s">
        <v>863</v>
      </c>
      <c r="E281" s="4" t="s">
        <v>863</v>
      </c>
      <c r="F281" t="s">
        <v>1026</v>
      </c>
      <c r="G281" t="s">
        <v>1027</v>
      </c>
      <c r="H281" t="s">
        <v>1028</v>
      </c>
      <c r="I281" t="s">
        <v>40</v>
      </c>
      <c r="J281" t="s">
        <v>40</v>
      </c>
      <c r="K281" t="s">
        <v>40</v>
      </c>
      <c r="L281" t="s">
        <v>40</v>
      </c>
      <c r="M281">
        <v>0</v>
      </c>
      <c r="N281">
        <v>200</v>
      </c>
      <c r="O281">
        <v>1</v>
      </c>
      <c r="P281">
        <v>0</v>
      </c>
      <c r="Q281" t="s">
        <v>77</v>
      </c>
      <c r="R281" t="b">
        <v>0</v>
      </c>
      <c r="S281" t="s">
        <v>40</v>
      </c>
      <c r="T281" t="s">
        <v>49</v>
      </c>
      <c r="U281" t="s">
        <v>229</v>
      </c>
      <c r="V281" s="2">
        <v>45120.49219906237</v>
      </c>
      <c r="W281" t="s">
        <v>40</v>
      </c>
      <c r="X281">
        <v>0</v>
      </c>
      <c r="Y281" t="s">
        <v>40</v>
      </c>
      <c r="Z281" t="s">
        <v>40</v>
      </c>
      <c r="AA281" t="s">
        <v>40</v>
      </c>
      <c r="AB281">
        <v>0</v>
      </c>
      <c r="AC281" t="s">
        <v>49</v>
      </c>
      <c r="AD281" t="s">
        <v>40</v>
      </c>
      <c r="AE281" t="s">
        <v>40</v>
      </c>
      <c r="AF281" t="s">
        <v>40</v>
      </c>
      <c r="AG281" t="s">
        <v>40</v>
      </c>
      <c r="AH281" t="s">
        <v>40</v>
      </c>
      <c r="AI281" t="s">
        <v>40</v>
      </c>
      <c r="AJ281" t="s">
        <v>40</v>
      </c>
      <c r="AK281" t="s">
        <v>40</v>
      </c>
      <c r="AL281" t="s">
        <v>40</v>
      </c>
      <c r="AM281" t="s">
        <v>40</v>
      </c>
    </row>
    <row r="282" spans="1:39" x14ac:dyDescent="0.2">
      <c r="A282" s="4" t="s">
        <v>1029</v>
      </c>
      <c r="B282" s="4" t="s">
        <v>1030</v>
      </c>
      <c r="C282" s="4" t="s">
        <v>863</v>
      </c>
      <c r="D282" s="4" t="s">
        <v>863</v>
      </c>
      <c r="E282" s="4" t="s">
        <v>863</v>
      </c>
      <c r="F282" t="s">
        <v>1031</v>
      </c>
      <c r="G282" t="s">
        <v>1032</v>
      </c>
      <c r="H282" t="s">
        <v>1033</v>
      </c>
      <c r="I282" t="s">
        <v>40</v>
      </c>
      <c r="J282" t="s">
        <v>40</v>
      </c>
      <c r="K282" t="s">
        <v>40</v>
      </c>
      <c r="L282" t="s">
        <v>40</v>
      </c>
      <c r="M282">
        <v>0</v>
      </c>
      <c r="N282">
        <v>200</v>
      </c>
      <c r="O282">
        <v>1</v>
      </c>
      <c r="P282">
        <v>0</v>
      </c>
      <c r="Q282" t="s">
        <v>77</v>
      </c>
      <c r="R282" t="b">
        <v>0</v>
      </c>
      <c r="S282" t="s">
        <v>40</v>
      </c>
      <c r="T282" t="s">
        <v>49</v>
      </c>
      <c r="U282" t="s">
        <v>229</v>
      </c>
      <c r="V282" s="2">
        <v>45120.630092580803</v>
      </c>
      <c r="W282" t="s">
        <v>40</v>
      </c>
      <c r="X282">
        <v>0</v>
      </c>
      <c r="Y282" t="s">
        <v>40</v>
      </c>
      <c r="Z282" t="s">
        <v>40</v>
      </c>
      <c r="AA282" t="s">
        <v>40</v>
      </c>
      <c r="AB282">
        <v>2</v>
      </c>
      <c r="AC282" t="s">
        <v>49</v>
      </c>
      <c r="AD282" t="s">
        <v>40</v>
      </c>
      <c r="AE282" t="s">
        <v>40</v>
      </c>
      <c r="AF282" t="s">
        <v>40</v>
      </c>
      <c r="AG282" t="s">
        <v>40</v>
      </c>
      <c r="AH282" t="s">
        <v>40</v>
      </c>
      <c r="AI282" t="s">
        <v>40</v>
      </c>
      <c r="AJ282" t="s">
        <v>40</v>
      </c>
      <c r="AK282" t="s">
        <v>40</v>
      </c>
      <c r="AL282" t="s">
        <v>40</v>
      </c>
      <c r="AM282" t="s">
        <v>40</v>
      </c>
    </row>
    <row r="283" spans="1:39" x14ac:dyDescent="0.2">
      <c r="A283" s="4" t="s">
        <v>1034</v>
      </c>
      <c r="B283" s="4" t="s">
        <v>1638</v>
      </c>
      <c r="C283" s="4" t="s">
        <v>863</v>
      </c>
      <c r="D283" s="4" t="s">
        <v>863</v>
      </c>
      <c r="E283" s="4" t="s">
        <v>863</v>
      </c>
      <c r="F283" t="s">
        <v>1035</v>
      </c>
      <c r="G283" t="s">
        <v>1036</v>
      </c>
      <c r="H283" t="s">
        <v>1037</v>
      </c>
      <c r="I283" t="s">
        <v>40</v>
      </c>
      <c r="J283" t="s">
        <v>40</v>
      </c>
      <c r="K283" t="s">
        <v>40</v>
      </c>
      <c r="L283" t="s">
        <v>40</v>
      </c>
      <c r="M283">
        <v>7.3500000000000005</v>
      </c>
      <c r="N283">
        <v>500</v>
      </c>
      <c r="O283">
        <v>1</v>
      </c>
      <c r="P283">
        <v>0</v>
      </c>
      <c r="Q283" t="s">
        <v>77</v>
      </c>
      <c r="R283" t="b">
        <v>0</v>
      </c>
      <c r="S283" t="s">
        <v>40</v>
      </c>
      <c r="T283" t="s">
        <v>49</v>
      </c>
      <c r="U283" t="s">
        <v>229</v>
      </c>
      <c r="V283" s="2">
        <v>45122.413194444496</v>
      </c>
      <c r="W283" t="s">
        <v>40</v>
      </c>
      <c r="X283">
        <v>0</v>
      </c>
      <c r="Y283" t="s">
        <v>40</v>
      </c>
      <c r="Z283" t="s">
        <v>40</v>
      </c>
      <c r="AA283" t="s">
        <v>40</v>
      </c>
      <c r="AB283">
        <v>2</v>
      </c>
      <c r="AC283" t="s">
        <v>49</v>
      </c>
      <c r="AD283" t="s">
        <v>40</v>
      </c>
      <c r="AE283" t="s">
        <v>40</v>
      </c>
      <c r="AF283" t="s">
        <v>40</v>
      </c>
      <c r="AG283" t="s">
        <v>40</v>
      </c>
      <c r="AH283" t="s">
        <v>40</v>
      </c>
      <c r="AI283" t="s">
        <v>40</v>
      </c>
      <c r="AJ283" t="s">
        <v>40</v>
      </c>
      <c r="AK283" t="s">
        <v>40</v>
      </c>
      <c r="AL283" t="s">
        <v>40</v>
      </c>
      <c r="AM283" t="s">
        <v>40</v>
      </c>
    </row>
    <row r="284" spans="1:39" x14ac:dyDescent="0.2">
      <c r="A284" s="4" t="s">
        <v>1038</v>
      </c>
      <c r="B284" s="4" t="s">
        <v>1639</v>
      </c>
      <c r="C284" s="4" t="s">
        <v>1039</v>
      </c>
      <c r="D284" s="4" t="s">
        <v>40</v>
      </c>
      <c r="E284" s="4" t="s">
        <v>40</v>
      </c>
      <c r="F284" t="s">
        <v>40</v>
      </c>
      <c r="G284" t="s">
        <v>1040</v>
      </c>
      <c r="H284" t="s">
        <v>1041</v>
      </c>
      <c r="I284" t="s">
        <v>40</v>
      </c>
      <c r="J284" t="s">
        <v>40</v>
      </c>
      <c r="K284" t="s">
        <v>40</v>
      </c>
      <c r="L284" t="s">
        <v>40</v>
      </c>
      <c r="M284">
        <v>0</v>
      </c>
      <c r="N284">
        <v>1000</v>
      </c>
      <c r="O284">
        <v>1</v>
      </c>
      <c r="P284">
        <v>0</v>
      </c>
      <c r="Q284" t="s">
        <v>77</v>
      </c>
      <c r="R284" t="b">
        <v>0</v>
      </c>
      <c r="S284" t="s">
        <v>40</v>
      </c>
      <c r="T284" t="s">
        <v>49</v>
      </c>
      <c r="U284" t="s">
        <v>229</v>
      </c>
      <c r="V284" s="2">
        <v>45167.410949074198</v>
      </c>
      <c r="W284" t="s">
        <v>40</v>
      </c>
      <c r="X284">
        <v>0</v>
      </c>
      <c r="Y284" t="s">
        <v>40</v>
      </c>
      <c r="Z284" t="s">
        <v>40</v>
      </c>
      <c r="AA284" t="s">
        <v>40</v>
      </c>
      <c r="AB284">
        <v>2</v>
      </c>
      <c r="AC284" t="s">
        <v>49</v>
      </c>
      <c r="AD284" t="s">
        <v>40</v>
      </c>
      <c r="AE284" t="s">
        <v>40</v>
      </c>
      <c r="AF284" t="s">
        <v>40</v>
      </c>
      <c r="AG284" t="s">
        <v>40</v>
      </c>
      <c r="AH284" t="s">
        <v>40</v>
      </c>
      <c r="AI284" t="s">
        <v>40</v>
      </c>
      <c r="AJ284" t="s">
        <v>40</v>
      </c>
      <c r="AK284" t="s">
        <v>40</v>
      </c>
      <c r="AL284" t="s">
        <v>40</v>
      </c>
      <c r="AM284" t="s">
        <v>40</v>
      </c>
    </row>
    <row r="285" spans="1:39" x14ac:dyDescent="0.2">
      <c r="A285" s="4" t="s">
        <v>1042</v>
      </c>
      <c r="B285" s="4" t="s">
        <v>1640</v>
      </c>
      <c r="C285" s="4" t="s">
        <v>1043</v>
      </c>
      <c r="D285" s="4" t="s">
        <v>863</v>
      </c>
      <c r="E285" s="4" t="s">
        <v>863</v>
      </c>
      <c r="F285" t="s">
        <v>40</v>
      </c>
      <c r="G285" t="s">
        <v>1044</v>
      </c>
      <c r="H285" t="s">
        <v>1045</v>
      </c>
      <c r="I285" t="s">
        <v>40</v>
      </c>
      <c r="J285" t="s">
        <v>40</v>
      </c>
      <c r="K285" t="s">
        <v>40</v>
      </c>
      <c r="L285" t="s">
        <v>40</v>
      </c>
      <c r="M285">
        <v>246.05</v>
      </c>
      <c r="N285">
        <v>1000</v>
      </c>
      <c r="O285">
        <v>1</v>
      </c>
      <c r="P285">
        <v>0</v>
      </c>
      <c r="Q285" t="s">
        <v>77</v>
      </c>
      <c r="R285" t="b">
        <v>0</v>
      </c>
      <c r="S285" t="s">
        <v>40</v>
      </c>
      <c r="T285">
        <v>45608</v>
      </c>
      <c r="U285" t="s">
        <v>229</v>
      </c>
      <c r="V285" s="2">
        <v>45168.573969907593</v>
      </c>
      <c r="W285" t="s">
        <v>40</v>
      </c>
      <c r="X285">
        <v>0</v>
      </c>
      <c r="Y285" t="s">
        <v>40</v>
      </c>
      <c r="Z285" t="s">
        <v>40</v>
      </c>
      <c r="AA285" t="s">
        <v>40</v>
      </c>
      <c r="AB285">
        <v>2</v>
      </c>
      <c r="AC285" t="s">
        <v>49</v>
      </c>
      <c r="AD285" t="s">
        <v>40</v>
      </c>
      <c r="AE285" t="s">
        <v>40</v>
      </c>
      <c r="AF285" t="s">
        <v>40</v>
      </c>
      <c r="AG285" t="s">
        <v>40</v>
      </c>
      <c r="AH285" t="s">
        <v>40</v>
      </c>
      <c r="AI285" t="s">
        <v>40</v>
      </c>
      <c r="AJ285" t="s">
        <v>40</v>
      </c>
      <c r="AK285" t="s">
        <v>40</v>
      </c>
      <c r="AL285" t="s">
        <v>40</v>
      </c>
      <c r="AM285" t="s">
        <v>40</v>
      </c>
    </row>
    <row r="286" spans="1:39" x14ac:dyDescent="0.2">
      <c r="A286" s="4" t="s">
        <v>1046</v>
      </c>
      <c r="B286" s="4" t="s">
        <v>1047</v>
      </c>
      <c r="C286" s="4" t="s">
        <v>40</v>
      </c>
      <c r="D286" s="4" t="s">
        <v>40</v>
      </c>
      <c r="E286" s="4" t="s">
        <v>40</v>
      </c>
      <c r="F286" t="s">
        <v>40</v>
      </c>
      <c r="G286" t="s">
        <v>40</v>
      </c>
      <c r="H286" t="s">
        <v>40</v>
      </c>
      <c r="I286" t="s">
        <v>40</v>
      </c>
      <c r="J286" t="s">
        <v>40</v>
      </c>
      <c r="K286" t="s">
        <v>40</v>
      </c>
      <c r="L286" t="s">
        <v>40</v>
      </c>
      <c r="M286">
        <v>17.150000000000002</v>
      </c>
      <c r="N286">
        <v>500</v>
      </c>
      <c r="O286">
        <v>2</v>
      </c>
      <c r="P286">
        <v>30</v>
      </c>
      <c r="Q286" t="s">
        <v>77</v>
      </c>
      <c r="R286" t="b">
        <v>0</v>
      </c>
      <c r="S286" t="s">
        <v>40</v>
      </c>
      <c r="T286">
        <v>45160</v>
      </c>
      <c r="U286" t="s">
        <v>229</v>
      </c>
      <c r="V286" s="2">
        <v>45174.594606481493</v>
      </c>
      <c r="W286" t="s">
        <v>40</v>
      </c>
      <c r="X286">
        <v>0</v>
      </c>
      <c r="Y286" t="s">
        <v>40</v>
      </c>
      <c r="Z286" t="s">
        <v>40</v>
      </c>
      <c r="AA286" t="s">
        <v>40</v>
      </c>
      <c r="AB286">
        <v>0</v>
      </c>
      <c r="AC286" t="s">
        <v>49</v>
      </c>
      <c r="AD286" t="s">
        <v>40</v>
      </c>
      <c r="AE286" t="s">
        <v>40</v>
      </c>
      <c r="AF286" t="s">
        <v>40</v>
      </c>
      <c r="AG286" t="s">
        <v>40</v>
      </c>
      <c r="AH286" t="s">
        <v>40</v>
      </c>
      <c r="AI286" t="s">
        <v>40</v>
      </c>
      <c r="AJ286" t="s">
        <v>40</v>
      </c>
      <c r="AK286" t="s">
        <v>40</v>
      </c>
      <c r="AL286" t="s">
        <v>40</v>
      </c>
      <c r="AM286" t="s">
        <v>40</v>
      </c>
    </row>
    <row r="287" spans="1:39" x14ac:dyDescent="0.2">
      <c r="A287" s="4" t="s">
        <v>1048</v>
      </c>
      <c r="B287" s="4" t="s">
        <v>1049</v>
      </c>
      <c r="C287" s="4" t="s">
        <v>40</v>
      </c>
      <c r="D287" s="4" t="s">
        <v>40</v>
      </c>
      <c r="E287" s="4" t="s">
        <v>40</v>
      </c>
      <c r="F287" t="s">
        <v>40</v>
      </c>
      <c r="G287" t="s">
        <v>1048</v>
      </c>
      <c r="H287" t="s">
        <v>40</v>
      </c>
      <c r="I287" t="s">
        <v>40</v>
      </c>
      <c r="J287" t="s">
        <v>40</v>
      </c>
      <c r="K287" t="s">
        <v>40</v>
      </c>
      <c r="L287" t="s">
        <v>40</v>
      </c>
      <c r="M287">
        <v>0</v>
      </c>
      <c r="N287">
        <v>5000</v>
      </c>
      <c r="O287">
        <v>1</v>
      </c>
      <c r="P287">
        <v>0</v>
      </c>
      <c r="Q287" t="s">
        <v>77</v>
      </c>
      <c r="R287" t="b">
        <v>0</v>
      </c>
      <c r="S287" t="s">
        <v>40</v>
      </c>
      <c r="T287" s="1">
        <v>45133</v>
      </c>
      <c r="U287" t="s">
        <v>229</v>
      </c>
      <c r="V287" s="2">
        <v>45174.595682870597</v>
      </c>
      <c r="W287" t="s">
        <v>40</v>
      </c>
      <c r="X287">
        <v>0</v>
      </c>
      <c r="Y287" t="s">
        <v>40</v>
      </c>
      <c r="Z287" t="s">
        <v>40</v>
      </c>
      <c r="AA287" t="s">
        <v>40</v>
      </c>
      <c r="AB287">
        <v>1</v>
      </c>
      <c r="AC287" t="s">
        <v>49</v>
      </c>
      <c r="AD287" t="s">
        <v>40</v>
      </c>
      <c r="AE287" t="s">
        <v>40</v>
      </c>
      <c r="AF287" t="s">
        <v>40</v>
      </c>
      <c r="AG287" t="s">
        <v>40</v>
      </c>
      <c r="AH287" t="s">
        <v>40</v>
      </c>
      <c r="AI287" t="s">
        <v>40</v>
      </c>
      <c r="AJ287" t="s">
        <v>40</v>
      </c>
      <c r="AK287" t="s">
        <v>40</v>
      </c>
      <c r="AL287" t="s">
        <v>40</v>
      </c>
      <c r="AM287" t="s">
        <v>40</v>
      </c>
    </row>
    <row r="288" spans="1:39" x14ac:dyDescent="0.2">
      <c r="A288" s="4" t="s">
        <v>1050</v>
      </c>
      <c r="B288" s="4" t="s">
        <v>1051</v>
      </c>
      <c r="C288" s="4" t="s">
        <v>40</v>
      </c>
      <c r="D288" s="4" t="s">
        <v>40</v>
      </c>
      <c r="E288" s="4" t="s">
        <v>40</v>
      </c>
      <c r="F288" t="s">
        <v>40</v>
      </c>
      <c r="G288" t="s">
        <v>1050</v>
      </c>
      <c r="H288" t="s">
        <v>40</v>
      </c>
      <c r="I288" t="s">
        <v>40</v>
      </c>
      <c r="J288" t="s">
        <v>40</v>
      </c>
      <c r="K288" t="s">
        <v>40</v>
      </c>
      <c r="L288" t="s">
        <v>40</v>
      </c>
      <c r="M288">
        <v>0</v>
      </c>
      <c r="N288">
        <v>1000</v>
      </c>
      <c r="O288">
        <v>1</v>
      </c>
      <c r="P288">
        <v>0</v>
      </c>
      <c r="Q288" t="s">
        <v>77</v>
      </c>
      <c r="R288" t="b">
        <v>0</v>
      </c>
      <c r="S288" t="s">
        <v>40</v>
      </c>
      <c r="T288">
        <v>45125</v>
      </c>
      <c r="U288" t="s">
        <v>229</v>
      </c>
      <c r="V288" s="2">
        <v>45174.619282396045</v>
      </c>
      <c r="W288" t="s">
        <v>40</v>
      </c>
      <c r="X288">
        <v>0</v>
      </c>
      <c r="Y288" t="s">
        <v>40</v>
      </c>
      <c r="Z288" t="s">
        <v>40</v>
      </c>
      <c r="AA288" t="s">
        <v>40</v>
      </c>
      <c r="AB288">
        <v>0</v>
      </c>
      <c r="AC288" t="s">
        <v>49</v>
      </c>
      <c r="AD288" t="s">
        <v>40</v>
      </c>
      <c r="AE288" t="s">
        <v>40</v>
      </c>
      <c r="AF288" t="s">
        <v>40</v>
      </c>
      <c r="AG288" t="s">
        <v>40</v>
      </c>
      <c r="AH288" t="s">
        <v>40</v>
      </c>
      <c r="AI288" t="s">
        <v>40</v>
      </c>
      <c r="AJ288" t="s">
        <v>40</v>
      </c>
      <c r="AK288" t="s">
        <v>40</v>
      </c>
      <c r="AL288" t="s">
        <v>40</v>
      </c>
      <c r="AM288" t="s">
        <v>40</v>
      </c>
    </row>
    <row r="289" spans="1:39" x14ac:dyDescent="0.2">
      <c r="A289" s="4" t="s">
        <v>1052</v>
      </c>
      <c r="B289" s="4" t="s">
        <v>1053</v>
      </c>
      <c r="C289" s="4" t="s">
        <v>40</v>
      </c>
      <c r="D289" s="4" t="s">
        <v>40</v>
      </c>
      <c r="E289" s="4" t="s">
        <v>40</v>
      </c>
      <c r="F289" t="s">
        <v>40</v>
      </c>
      <c r="G289" t="s">
        <v>1052</v>
      </c>
      <c r="H289" t="s">
        <v>40</v>
      </c>
      <c r="I289" t="s">
        <v>40</v>
      </c>
      <c r="J289" t="s">
        <v>40</v>
      </c>
      <c r="K289" t="s">
        <v>40</v>
      </c>
      <c r="L289" t="s">
        <v>40</v>
      </c>
      <c r="M289">
        <v>-2.4500000000000002</v>
      </c>
      <c r="N289">
        <v>1000</v>
      </c>
      <c r="O289">
        <v>1</v>
      </c>
      <c r="P289">
        <v>0</v>
      </c>
      <c r="Q289" t="s">
        <v>77</v>
      </c>
      <c r="R289" t="b">
        <v>0</v>
      </c>
      <c r="S289" t="s">
        <v>40</v>
      </c>
      <c r="T289" s="1">
        <v>45317</v>
      </c>
      <c r="U289" t="s">
        <v>229</v>
      </c>
      <c r="V289" s="2">
        <v>45174.674201377202</v>
      </c>
      <c r="W289" t="s">
        <v>40</v>
      </c>
      <c r="X289">
        <v>0</v>
      </c>
      <c r="Y289" t="s">
        <v>40</v>
      </c>
      <c r="Z289" t="s">
        <v>40</v>
      </c>
      <c r="AA289" t="s">
        <v>40</v>
      </c>
      <c r="AB289">
        <v>0</v>
      </c>
      <c r="AC289" t="s">
        <v>49</v>
      </c>
      <c r="AD289" t="s">
        <v>40</v>
      </c>
      <c r="AE289" t="s">
        <v>40</v>
      </c>
      <c r="AF289" t="s">
        <v>40</v>
      </c>
      <c r="AG289" t="s">
        <v>40</v>
      </c>
      <c r="AH289" t="s">
        <v>40</v>
      </c>
      <c r="AI289" t="s">
        <v>40</v>
      </c>
      <c r="AJ289" t="s">
        <v>40</v>
      </c>
      <c r="AK289" t="s">
        <v>40</v>
      </c>
      <c r="AL289" t="s">
        <v>40</v>
      </c>
      <c r="AM289" t="s">
        <v>40</v>
      </c>
    </row>
    <row r="290" spans="1:39" x14ac:dyDescent="0.2">
      <c r="A290" s="4" t="s">
        <v>1054</v>
      </c>
      <c r="B290" s="4" t="s">
        <v>1055</v>
      </c>
      <c r="C290" s="4" t="s">
        <v>40</v>
      </c>
      <c r="D290" s="4" t="s">
        <v>40</v>
      </c>
      <c r="E290" s="4" t="s">
        <v>40</v>
      </c>
      <c r="F290" t="s">
        <v>40</v>
      </c>
      <c r="G290" t="s">
        <v>1054</v>
      </c>
      <c r="H290" t="s">
        <v>40</v>
      </c>
      <c r="I290" t="s">
        <v>40</v>
      </c>
      <c r="J290" t="s">
        <v>40</v>
      </c>
      <c r="K290" t="s">
        <v>40</v>
      </c>
      <c r="L290" t="s">
        <v>40</v>
      </c>
      <c r="M290">
        <v>0</v>
      </c>
      <c r="N290">
        <v>1000</v>
      </c>
      <c r="O290">
        <v>1</v>
      </c>
      <c r="P290">
        <v>0</v>
      </c>
      <c r="Q290" t="s">
        <v>77</v>
      </c>
      <c r="R290" t="b">
        <v>0</v>
      </c>
      <c r="S290" t="s">
        <v>40</v>
      </c>
      <c r="T290">
        <v>45127</v>
      </c>
      <c r="U290" t="s">
        <v>229</v>
      </c>
      <c r="V290" s="2">
        <v>45174.708090277854</v>
      </c>
      <c r="W290" t="s">
        <v>40</v>
      </c>
      <c r="X290">
        <v>0</v>
      </c>
      <c r="Y290" t="s">
        <v>40</v>
      </c>
      <c r="Z290" t="s">
        <v>40</v>
      </c>
      <c r="AA290" t="s">
        <v>40</v>
      </c>
      <c r="AB290">
        <v>0</v>
      </c>
      <c r="AC290" t="s">
        <v>49</v>
      </c>
      <c r="AD290" t="s">
        <v>40</v>
      </c>
      <c r="AE290" t="s">
        <v>40</v>
      </c>
      <c r="AF290" t="s">
        <v>40</v>
      </c>
      <c r="AG290" t="s">
        <v>40</v>
      </c>
      <c r="AH290" t="s">
        <v>40</v>
      </c>
      <c r="AI290" t="s">
        <v>40</v>
      </c>
      <c r="AJ290" t="s">
        <v>40</v>
      </c>
      <c r="AK290" t="s">
        <v>40</v>
      </c>
      <c r="AL290" t="s">
        <v>40</v>
      </c>
      <c r="AM290" t="s">
        <v>40</v>
      </c>
    </row>
    <row r="291" spans="1:39" x14ac:dyDescent="0.2">
      <c r="A291" s="4" t="s">
        <v>1056</v>
      </c>
      <c r="B291" s="4" t="s">
        <v>1057</v>
      </c>
      <c r="C291" s="4" t="s">
        <v>863</v>
      </c>
      <c r="D291" s="4" t="s">
        <v>863</v>
      </c>
      <c r="E291" s="4" t="s">
        <v>40</v>
      </c>
      <c r="F291" t="s">
        <v>1058</v>
      </c>
      <c r="G291" t="s">
        <v>1044</v>
      </c>
      <c r="H291" t="s">
        <v>1045</v>
      </c>
      <c r="I291" t="s">
        <v>40</v>
      </c>
      <c r="J291" t="s">
        <v>40</v>
      </c>
      <c r="K291" t="s">
        <v>40</v>
      </c>
      <c r="L291" t="s">
        <v>40</v>
      </c>
      <c r="M291">
        <v>0</v>
      </c>
      <c r="N291">
        <v>1000</v>
      </c>
      <c r="O291">
        <v>1</v>
      </c>
      <c r="P291">
        <v>0</v>
      </c>
      <c r="Q291" t="s">
        <v>77</v>
      </c>
      <c r="R291" t="b">
        <v>0</v>
      </c>
      <c r="S291" t="s">
        <v>40</v>
      </c>
      <c r="T291" s="1" t="s">
        <v>49</v>
      </c>
      <c r="U291" t="s">
        <v>229</v>
      </c>
      <c r="V291" s="2">
        <v>45175.599259247538</v>
      </c>
      <c r="W291" t="s">
        <v>40</v>
      </c>
      <c r="X291">
        <v>0</v>
      </c>
      <c r="Y291" t="s">
        <v>40</v>
      </c>
      <c r="Z291" t="s">
        <v>40</v>
      </c>
      <c r="AA291" t="s">
        <v>40</v>
      </c>
      <c r="AB291">
        <v>1</v>
      </c>
      <c r="AC291" t="s">
        <v>49</v>
      </c>
      <c r="AD291" t="s">
        <v>40</v>
      </c>
      <c r="AE291" t="s">
        <v>40</v>
      </c>
      <c r="AF291" t="s">
        <v>40</v>
      </c>
      <c r="AG291" t="s">
        <v>40</v>
      </c>
      <c r="AH291" t="s">
        <v>40</v>
      </c>
      <c r="AI291" t="s">
        <v>40</v>
      </c>
      <c r="AJ291" t="s">
        <v>40</v>
      </c>
      <c r="AK291" t="s">
        <v>40</v>
      </c>
      <c r="AL291" t="s">
        <v>40</v>
      </c>
      <c r="AM291" t="s">
        <v>40</v>
      </c>
    </row>
    <row r="292" spans="1:39" x14ac:dyDescent="0.2">
      <c r="A292" s="4" t="s">
        <v>1059</v>
      </c>
      <c r="B292" s="4" t="s">
        <v>1060</v>
      </c>
      <c r="C292" s="4" t="s">
        <v>40</v>
      </c>
      <c r="D292" s="4" t="s">
        <v>40</v>
      </c>
      <c r="E292" s="4" t="s">
        <v>40</v>
      </c>
      <c r="F292" t="s">
        <v>40</v>
      </c>
      <c r="G292" t="s">
        <v>1059</v>
      </c>
      <c r="H292" t="s">
        <v>1061</v>
      </c>
      <c r="I292" t="s">
        <v>40</v>
      </c>
      <c r="J292" t="s">
        <v>40</v>
      </c>
      <c r="K292" t="s">
        <v>40</v>
      </c>
      <c r="L292" t="s">
        <v>40</v>
      </c>
      <c r="M292">
        <v>-4058</v>
      </c>
      <c r="N292">
        <v>3000</v>
      </c>
      <c r="O292">
        <v>2</v>
      </c>
      <c r="P292">
        <v>30</v>
      </c>
      <c r="Q292" t="s">
        <v>77</v>
      </c>
      <c r="R292" t="b">
        <v>0</v>
      </c>
      <c r="S292" t="s">
        <v>40</v>
      </c>
      <c r="T292">
        <v>45344</v>
      </c>
      <c r="U292" t="s">
        <v>229</v>
      </c>
      <c r="V292" s="2">
        <v>45176.403240740765</v>
      </c>
      <c r="W292" t="s">
        <v>40</v>
      </c>
      <c r="X292">
        <v>0</v>
      </c>
      <c r="Y292" t="s">
        <v>40</v>
      </c>
      <c r="Z292" t="s">
        <v>40</v>
      </c>
      <c r="AA292" t="s">
        <v>40</v>
      </c>
      <c r="AB292">
        <v>2</v>
      </c>
      <c r="AC292" t="s">
        <v>49</v>
      </c>
      <c r="AD292" t="s">
        <v>40</v>
      </c>
      <c r="AE292" t="s">
        <v>40</v>
      </c>
      <c r="AF292" t="s">
        <v>40</v>
      </c>
      <c r="AG292" t="s">
        <v>40</v>
      </c>
      <c r="AH292" t="s">
        <v>40</v>
      </c>
      <c r="AI292" t="s">
        <v>40</v>
      </c>
      <c r="AJ292" t="s">
        <v>40</v>
      </c>
      <c r="AK292" t="s">
        <v>40</v>
      </c>
      <c r="AL292" t="s">
        <v>40</v>
      </c>
      <c r="AM292" t="s">
        <v>40</v>
      </c>
    </row>
    <row r="293" spans="1:39" x14ac:dyDescent="0.2">
      <c r="A293" s="4" t="s">
        <v>1062</v>
      </c>
      <c r="B293" s="4" t="s">
        <v>1063</v>
      </c>
      <c r="C293" s="4" t="s">
        <v>863</v>
      </c>
      <c r="D293" s="4" t="s">
        <v>40</v>
      </c>
      <c r="E293" s="4" t="s">
        <v>40</v>
      </c>
      <c r="F293" t="s">
        <v>863</v>
      </c>
      <c r="G293" t="s">
        <v>1064</v>
      </c>
      <c r="H293" t="s">
        <v>1065</v>
      </c>
      <c r="I293" t="s">
        <v>40</v>
      </c>
      <c r="J293" t="s">
        <v>40</v>
      </c>
      <c r="K293" t="s">
        <v>40</v>
      </c>
      <c r="L293" t="s">
        <v>40</v>
      </c>
      <c r="M293">
        <v>46.550000000000004</v>
      </c>
      <c r="N293">
        <v>600</v>
      </c>
      <c r="O293">
        <v>1</v>
      </c>
      <c r="P293">
        <v>0</v>
      </c>
      <c r="Q293" t="s">
        <v>77</v>
      </c>
      <c r="R293" t="b">
        <v>0</v>
      </c>
      <c r="S293" t="s">
        <v>40</v>
      </c>
      <c r="T293">
        <v>45306</v>
      </c>
      <c r="U293" t="s">
        <v>229</v>
      </c>
      <c r="V293" s="2">
        <v>45176.626423611306</v>
      </c>
      <c r="W293" t="s">
        <v>40</v>
      </c>
      <c r="X293">
        <v>0</v>
      </c>
      <c r="Y293" t="s">
        <v>40</v>
      </c>
      <c r="Z293" t="s">
        <v>40</v>
      </c>
      <c r="AA293" t="s">
        <v>40</v>
      </c>
      <c r="AB293">
        <v>1</v>
      </c>
      <c r="AC293" t="s">
        <v>49</v>
      </c>
      <c r="AD293" t="s">
        <v>40</v>
      </c>
      <c r="AE293" t="s">
        <v>40</v>
      </c>
      <c r="AF293" t="s">
        <v>40</v>
      </c>
      <c r="AG293" t="s">
        <v>40</v>
      </c>
      <c r="AH293" t="s">
        <v>40</v>
      </c>
      <c r="AI293" t="s">
        <v>40</v>
      </c>
      <c r="AJ293" t="s">
        <v>40</v>
      </c>
      <c r="AK293" t="s">
        <v>40</v>
      </c>
      <c r="AL293" t="s">
        <v>40</v>
      </c>
      <c r="AM293" t="s">
        <v>40</v>
      </c>
    </row>
    <row r="294" spans="1:39" x14ac:dyDescent="0.2">
      <c r="A294" s="4" t="s">
        <v>1066</v>
      </c>
      <c r="B294" s="4" t="s">
        <v>1067</v>
      </c>
      <c r="C294" s="4" t="s">
        <v>863</v>
      </c>
      <c r="D294" s="4" t="s">
        <v>863</v>
      </c>
      <c r="E294" s="4" t="s">
        <v>863</v>
      </c>
      <c r="F294" t="s">
        <v>1068</v>
      </c>
      <c r="G294" t="s">
        <v>1069</v>
      </c>
      <c r="H294" t="s">
        <v>1070</v>
      </c>
      <c r="I294" t="s">
        <v>40</v>
      </c>
      <c r="J294" t="s">
        <v>40</v>
      </c>
      <c r="K294" t="s">
        <v>40</v>
      </c>
      <c r="L294" t="s">
        <v>40</v>
      </c>
      <c r="M294">
        <v>0</v>
      </c>
      <c r="N294">
        <v>0</v>
      </c>
      <c r="O294">
        <v>1</v>
      </c>
      <c r="P294">
        <v>0</v>
      </c>
      <c r="Q294" t="s">
        <v>77</v>
      </c>
      <c r="R294" t="b">
        <v>0</v>
      </c>
      <c r="S294" t="s">
        <v>40</v>
      </c>
      <c r="T294" t="s">
        <v>49</v>
      </c>
      <c r="U294" t="s">
        <v>229</v>
      </c>
      <c r="V294" s="2">
        <v>45240.417743055616</v>
      </c>
      <c r="W294" t="s">
        <v>40</v>
      </c>
      <c r="X294">
        <v>0</v>
      </c>
      <c r="Y294" t="s">
        <v>40</v>
      </c>
      <c r="Z294" t="s">
        <v>40</v>
      </c>
      <c r="AA294" t="s">
        <v>40</v>
      </c>
      <c r="AB294">
        <v>2</v>
      </c>
      <c r="AC294" t="s">
        <v>49</v>
      </c>
      <c r="AD294" t="s">
        <v>40</v>
      </c>
      <c r="AE294" t="s">
        <v>40</v>
      </c>
      <c r="AF294" t="s">
        <v>40</v>
      </c>
      <c r="AG294" t="s">
        <v>40</v>
      </c>
      <c r="AH294" t="s">
        <v>40</v>
      </c>
      <c r="AI294" t="s">
        <v>40</v>
      </c>
      <c r="AJ294" t="s">
        <v>40</v>
      </c>
      <c r="AK294" t="s">
        <v>40</v>
      </c>
      <c r="AL294" t="s">
        <v>40</v>
      </c>
      <c r="AM294" t="s">
        <v>40</v>
      </c>
    </row>
    <row r="295" spans="1:39" x14ac:dyDescent="0.2">
      <c r="A295" s="4" t="s">
        <v>1071</v>
      </c>
      <c r="B295" s="4" t="s">
        <v>1641</v>
      </c>
      <c r="C295" s="4" t="s">
        <v>863</v>
      </c>
      <c r="D295" s="4" t="s">
        <v>863</v>
      </c>
      <c r="E295" s="4" t="s">
        <v>40</v>
      </c>
      <c r="F295" t="s">
        <v>40</v>
      </c>
      <c r="G295" t="s">
        <v>1072</v>
      </c>
      <c r="H295" t="s">
        <v>1073</v>
      </c>
      <c r="I295" t="s">
        <v>40</v>
      </c>
      <c r="J295" t="s">
        <v>40</v>
      </c>
      <c r="K295" t="s">
        <v>40</v>
      </c>
      <c r="L295" t="s">
        <v>40</v>
      </c>
      <c r="M295">
        <v>12.25</v>
      </c>
      <c r="N295">
        <v>0</v>
      </c>
      <c r="O295">
        <v>1</v>
      </c>
      <c r="P295">
        <v>0</v>
      </c>
      <c r="Q295" t="s">
        <v>77</v>
      </c>
      <c r="R295" t="b">
        <v>0</v>
      </c>
      <c r="S295" t="s">
        <v>40</v>
      </c>
      <c r="T295">
        <v>45660</v>
      </c>
      <c r="U295" t="s">
        <v>229</v>
      </c>
      <c r="V295" s="2">
        <v>45240.43296295125</v>
      </c>
      <c r="W295" t="s">
        <v>40</v>
      </c>
      <c r="X295">
        <v>0</v>
      </c>
      <c r="Y295" t="s">
        <v>40</v>
      </c>
      <c r="Z295" t="s">
        <v>40</v>
      </c>
      <c r="AA295" t="s">
        <v>40</v>
      </c>
      <c r="AB295">
        <v>2</v>
      </c>
      <c r="AC295" t="s">
        <v>49</v>
      </c>
      <c r="AD295" t="s">
        <v>40</v>
      </c>
      <c r="AE295" t="s">
        <v>40</v>
      </c>
      <c r="AF295" t="s">
        <v>40</v>
      </c>
      <c r="AG295" t="s">
        <v>40</v>
      </c>
      <c r="AH295" t="s">
        <v>40</v>
      </c>
      <c r="AI295" t="s">
        <v>40</v>
      </c>
      <c r="AJ295" t="s">
        <v>40</v>
      </c>
      <c r="AK295" t="s">
        <v>40</v>
      </c>
      <c r="AL295" t="s">
        <v>40</v>
      </c>
      <c r="AM295" t="s">
        <v>40</v>
      </c>
    </row>
    <row r="296" spans="1:39" x14ac:dyDescent="0.2">
      <c r="A296" s="4" t="s">
        <v>1074</v>
      </c>
      <c r="B296" s="4" t="s">
        <v>1075</v>
      </c>
      <c r="C296" s="4" t="s">
        <v>1076</v>
      </c>
      <c r="D296" s="4" t="s">
        <v>1076</v>
      </c>
      <c r="E296" s="4" t="s">
        <v>40</v>
      </c>
      <c r="F296" t="s">
        <v>40</v>
      </c>
      <c r="G296" t="s">
        <v>1077</v>
      </c>
      <c r="H296" t="s">
        <v>1078</v>
      </c>
      <c r="I296" t="s">
        <v>40</v>
      </c>
      <c r="J296" t="s">
        <v>40</v>
      </c>
      <c r="K296" t="s">
        <v>40</v>
      </c>
      <c r="L296" t="s">
        <v>40</v>
      </c>
      <c r="M296">
        <v>0</v>
      </c>
      <c r="N296">
        <v>0</v>
      </c>
      <c r="O296">
        <v>1</v>
      </c>
      <c r="P296">
        <v>0</v>
      </c>
      <c r="Q296" t="s">
        <v>77</v>
      </c>
      <c r="R296" t="b">
        <v>0</v>
      </c>
      <c r="S296" t="s">
        <v>40</v>
      </c>
      <c r="T296" t="s">
        <v>49</v>
      </c>
      <c r="U296" t="s">
        <v>229</v>
      </c>
      <c r="V296" s="2">
        <v>45240.453425926156</v>
      </c>
      <c r="W296" t="s">
        <v>40</v>
      </c>
      <c r="X296">
        <v>0</v>
      </c>
      <c r="Y296" t="s">
        <v>40</v>
      </c>
      <c r="Z296" t="s">
        <v>40</v>
      </c>
      <c r="AA296" t="s">
        <v>40</v>
      </c>
      <c r="AB296">
        <v>2</v>
      </c>
      <c r="AC296" t="s">
        <v>49</v>
      </c>
      <c r="AD296" t="s">
        <v>40</v>
      </c>
      <c r="AE296" t="s">
        <v>40</v>
      </c>
      <c r="AF296" t="s">
        <v>40</v>
      </c>
      <c r="AG296" t="s">
        <v>40</v>
      </c>
      <c r="AH296" t="s">
        <v>40</v>
      </c>
      <c r="AI296" t="s">
        <v>40</v>
      </c>
      <c r="AJ296" t="s">
        <v>40</v>
      </c>
      <c r="AK296" t="s">
        <v>40</v>
      </c>
      <c r="AL296" t="s">
        <v>40</v>
      </c>
      <c r="AM296" t="s">
        <v>40</v>
      </c>
    </row>
    <row r="297" spans="1:39" x14ac:dyDescent="0.2">
      <c r="A297" s="4" t="s">
        <v>1079</v>
      </c>
      <c r="B297" s="4" t="s">
        <v>1642</v>
      </c>
      <c r="C297" s="4" t="s">
        <v>1080</v>
      </c>
      <c r="D297" s="4" t="s">
        <v>863</v>
      </c>
      <c r="E297" s="4" t="s">
        <v>863</v>
      </c>
      <c r="F297" t="s">
        <v>1081</v>
      </c>
      <c r="G297" t="s">
        <v>1082</v>
      </c>
      <c r="H297" t="s">
        <v>1083</v>
      </c>
      <c r="I297" t="s">
        <v>40</v>
      </c>
      <c r="J297" t="s">
        <v>40</v>
      </c>
      <c r="K297" t="s">
        <v>40</v>
      </c>
      <c r="L297" t="s">
        <v>40</v>
      </c>
      <c r="M297">
        <v>58.800000000000004</v>
      </c>
      <c r="N297">
        <v>0</v>
      </c>
      <c r="O297">
        <v>1</v>
      </c>
      <c r="P297">
        <v>0</v>
      </c>
      <c r="Q297" t="s">
        <v>77</v>
      </c>
      <c r="R297" t="b">
        <v>0</v>
      </c>
      <c r="S297" t="s">
        <v>40</v>
      </c>
      <c r="T297">
        <v>45216</v>
      </c>
      <c r="U297" t="s">
        <v>229</v>
      </c>
      <c r="V297" s="2">
        <v>45243.444212951232</v>
      </c>
      <c r="W297" t="s">
        <v>40</v>
      </c>
      <c r="X297">
        <v>0</v>
      </c>
      <c r="Y297" t="s">
        <v>40</v>
      </c>
      <c r="Z297" t="s">
        <v>40</v>
      </c>
      <c r="AA297" t="s">
        <v>40</v>
      </c>
      <c r="AB297">
        <v>0</v>
      </c>
      <c r="AC297" t="s">
        <v>49</v>
      </c>
      <c r="AD297" t="s">
        <v>40</v>
      </c>
      <c r="AE297" t="s">
        <v>40</v>
      </c>
      <c r="AF297" t="s">
        <v>40</v>
      </c>
      <c r="AG297" t="s">
        <v>40</v>
      </c>
      <c r="AH297" t="s">
        <v>40</v>
      </c>
      <c r="AI297" t="s">
        <v>40</v>
      </c>
      <c r="AJ297" t="s">
        <v>40</v>
      </c>
      <c r="AK297" t="s">
        <v>40</v>
      </c>
      <c r="AL297" t="s">
        <v>40</v>
      </c>
      <c r="AM297" t="s">
        <v>40</v>
      </c>
    </row>
    <row r="298" spans="1:39" x14ac:dyDescent="0.2">
      <c r="A298" s="4" t="s">
        <v>1084</v>
      </c>
      <c r="B298" s="4" t="s">
        <v>1643</v>
      </c>
      <c r="C298" s="4" t="s">
        <v>863</v>
      </c>
      <c r="D298" s="4" t="s">
        <v>40</v>
      </c>
      <c r="E298" s="4" t="s">
        <v>40</v>
      </c>
      <c r="F298" t="s">
        <v>40</v>
      </c>
      <c r="G298" t="s">
        <v>1084</v>
      </c>
      <c r="H298" t="s">
        <v>1084</v>
      </c>
      <c r="I298" t="s">
        <v>40</v>
      </c>
      <c r="J298" t="s">
        <v>40</v>
      </c>
      <c r="K298" t="s">
        <v>40</v>
      </c>
      <c r="L298" t="s">
        <v>40</v>
      </c>
      <c r="M298">
        <v>0</v>
      </c>
      <c r="N298">
        <v>0</v>
      </c>
      <c r="O298">
        <v>1</v>
      </c>
      <c r="P298">
        <v>0</v>
      </c>
      <c r="Q298" t="s">
        <v>77</v>
      </c>
      <c r="R298" t="b">
        <v>0</v>
      </c>
      <c r="S298" t="s">
        <v>40</v>
      </c>
      <c r="T298">
        <v>45190</v>
      </c>
      <c r="U298" t="s">
        <v>229</v>
      </c>
      <c r="V298" s="2">
        <v>45251.377094896045</v>
      </c>
      <c r="W298" t="s">
        <v>40</v>
      </c>
      <c r="X298">
        <v>0</v>
      </c>
      <c r="Y298" t="s">
        <v>40</v>
      </c>
      <c r="Z298" t="s">
        <v>40</v>
      </c>
      <c r="AA298" t="s">
        <v>40</v>
      </c>
      <c r="AB298">
        <v>2</v>
      </c>
      <c r="AC298" t="s">
        <v>49</v>
      </c>
      <c r="AD298" t="s">
        <v>40</v>
      </c>
      <c r="AE298" t="s">
        <v>40</v>
      </c>
      <c r="AF298" t="s">
        <v>40</v>
      </c>
      <c r="AG298" t="s">
        <v>40</v>
      </c>
      <c r="AH298" t="s">
        <v>40</v>
      </c>
      <c r="AI298" t="s">
        <v>40</v>
      </c>
      <c r="AJ298" t="s">
        <v>40</v>
      </c>
      <c r="AK298" t="s">
        <v>40</v>
      </c>
      <c r="AL298" t="s">
        <v>40</v>
      </c>
      <c r="AM298" t="s">
        <v>40</v>
      </c>
    </row>
    <row r="299" spans="1:39" x14ac:dyDescent="0.2">
      <c r="A299" s="4" t="s">
        <v>1085</v>
      </c>
      <c r="B299" s="4" t="s">
        <v>1644</v>
      </c>
      <c r="C299" s="4" t="s">
        <v>863</v>
      </c>
      <c r="D299" s="4" t="s">
        <v>863</v>
      </c>
      <c r="E299" s="4" t="s">
        <v>863</v>
      </c>
      <c r="F299" t="s">
        <v>1086</v>
      </c>
      <c r="G299" t="s">
        <v>1087</v>
      </c>
      <c r="H299" t="s">
        <v>1088</v>
      </c>
      <c r="I299" t="s">
        <v>40</v>
      </c>
      <c r="J299" t="s">
        <v>40</v>
      </c>
      <c r="K299" t="s">
        <v>40</v>
      </c>
      <c r="L299" t="s">
        <v>40</v>
      </c>
      <c r="M299">
        <v>0</v>
      </c>
      <c r="N299">
        <v>0</v>
      </c>
      <c r="O299">
        <v>1</v>
      </c>
      <c r="P299">
        <v>0</v>
      </c>
      <c r="Q299" t="s">
        <v>77</v>
      </c>
      <c r="R299" t="b">
        <v>0</v>
      </c>
      <c r="S299" t="s">
        <v>40</v>
      </c>
      <c r="T299" t="s">
        <v>49</v>
      </c>
      <c r="U299" t="s">
        <v>229</v>
      </c>
      <c r="V299" s="2">
        <v>45251.485486111138</v>
      </c>
      <c r="W299" t="s">
        <v>40</v>
      </c>
      <c r="X299">
        <v>0</v>
      </c>
      <c r="Y299" t="s">
        <v>40</v>
      </c>
      <c r="Z299" t="s">
        <v>40</v>
      </c>
      <c r="AA299" t="s">
        <v>40</v>
      </c>
      <c r="AB299">
        <v>2</v>
      </c>
      <c r="AC299" t="s">
        <v>49</v>
      </c>
      <c r="AD299" t="s">
        <v>40</v>
      </c>
      <c r="AE299" t="s">
        <v>40</v>
      </c>
      <c r="AF299" t="s">
        <v>40</v>
      </c>
      <c r="AG299" t="s">
        <v>40</v>
      </c>
      <c r="AH299" t="s">
        <v>40</v>
      </c>
      <c r="AI299" t="s">
        <v>40</v>
      </c>
      <c r="AJ299" t="s">
        <v>40</v>
      </c>
      <c r="AK299" t="s">
        <v>40</v>
      </c>
      <c r="AL299" t="s">
        <v>40</v>
      </c>
      <c r="AM299" t="s">
        <v>40</v>
      </c>
    </row>
    <row r="300" spans="1:39" x14ac:dyDescent="0.2">
      <c r="A300" s="4" t="s">
        <v>1089</v>
      </c>
      <c r="B300" s="4" t="s">
        <v>1090</v>
      </c>
      <c r="C300" s="4" t="s">
        <v>863</v>
      </c>
      <c r="D300" s="4" t="s">
        <v>863</v>
      </c>
      <c r="E300" s="4" t="s">
        <v>863</v>
      </c>
      <c r="F300" t="s">
        <v>1091</v>
      </c>
      <c r="G300" t="s">
        <v>1092</v>
      </c>
      <c r="H300" t="s">
        <v>1093</v>
      </c>
      <c r="I300" t="s">
        <v>40</v>
      </c>
      <c r="J300" t="s">
        <v>40</v>
      </c>
      <c r="K300" t="s">
        <v>40</v>
      </c>
      <c r="L300" t="s">
        <v>40</v>
      </c>
      <c r="M300">
        <v>0</v>
      </c>
      <c r="N300">
        <v>0</v>
      </c>
      <c r="O300">
        <v>1</v>
      </c>
      <c r="P300">
        <v>0</v>
      </c>
      <c r="Q300" t="s">
        <v>77</v>
      </c>
      <c r="R300" t="b">
        <v>0</v>
      </c>
      <c r="S300" t="s">
        <v>40</v>
      </c>
      <c r="T300" t="s">
        <v>49</v>
      </c>
      <c r="U300" t="s">
        <v>229</v>
      </c>
      <c r="V300" s="2">
        <v>45252.547499988228</v>
      </c>
      <c r="W300" t="s">
        <v>40</v>
      </c>
      <c r="X300">
        <v>0</v>
      </c>
      <c r="Y300" t="s">
        <v>40</v>
      </c>
      <c r="Z300" t="s">
        <v>40</v>
      </c>
      <c r="AA300" t="s">
        <v>40</v>
      </c>
      <c r="AB300">
        <v>1</v>
      </c>
      <c r="AC300" t="s">
        <v>49</v>
      </c>
      <c r="AD300" t="s">
        <v>40</v>
      </c>
      <c r="AE300" t="s">
        <v>40</v>
      </c>
      <c r="AF300" t="s">
        <v>40</v>
      </c>
      <c r="AG300" t="s">
        <v>40</v>
      </c>
      <c r="AH300" t="s">
        <v>40</v>
      </c>
      <c r="AI300" t="s">
        <v>40</v>
      </c>
      <c r="AJ300" t="s">
        <v>40</v>
      </c>
      <c r="AK300" t="s">
        <v>40</v>
      </c>
      <c r="AL300" t="s">
        <v>40</v>
      </c>
      <c r="AM300" t="s">
        <v>40</v>
      </c>
    </row>
    <row r="301" spans="1:39" x14ac:dyDescent="0.2">
      <c r="A301" s="4" t="s">
        <v>1094</v>
      </c>
      <c r="B301" s="4" t="s">
        <v>1095</v>
      </c>
      <c r="C301" s="4" t="s">
        <v>863</v>
      </c>
      <c r="D301" s="4" t="s">
        <v>40</v>
      </c>
      <c r="E301" s="4" t="s">
        <v>40</v>
      </c>
      <c r="F301" t="s">
        <v>40</v>
      </c>
      <c r="G301" t="s">
        <v>1094</v>
      </c>
      <c r="H301" t="s">
        <v>40</v>
      </c>
      <c r="I301" t="s">
        <v>40</v>
      </c>
      <c r="J301" t="s">
        <v>40</v>
      </c>
      <c r="K301" t="s">
        <v>40</v>
      </c>
      <c r="L301" t="s">
        <v>40</v>
      </c>
      <c r="M301">
        <v>70.010000000000005</v>
      </c>
      <c r="N301">
        <v>2000</v>
      </c>
      <c r="O301">
        <v>2</v>
      </c>
      <c r="P301">
        <v>30</v>
      </c>
      <c r="Q301" t="s">
        <v>77</v>
      </c>
      <c r="R301" t="b">
        <v>0</v>
      </c>
      <c r="S301" t="s">
        <v>40</v>
      </c>
      <c r="T301">
        <v>45371</v>
      </c>
      <c r="U301" t="s">
        <v>229</v>
      </c>
      <c r="V301" s="2">
        <v>45257.499571747612</v>
      </c>
      <c r="W301" t="s">
        <v>40</v>
      </c>
      <c r="X301">
        <v>0</v>
      </c>
      <c r="Y301" t="s">
        <v>40</v>
      </c>
      <c r="Z301" t="s">
        <v>40</v>
      </c>
      <c r="AA301" t="s">
        <v>40</v>
      </c>
      <c r="AB301">
        <v>0</v>
      </c>
      <c r="AC301" t="s">
        <v>49</v>
      </c>
      <c r="AD301" t="s">
        <v>40</v>
      </c>
      <c r="AE301" t="s">
        <v>40</v>
      </c>
      <c r="AF301" t="s">
        <v>40</v>
      </c>
      <c r="AG301" t="s">
        <v>40</v>
      </c>
      <c r="AH301" t="s">
        <v>40</v>
      </c>
      <c r="AI301" t="s">
        <v>40</v>
      </c>
      <c r="AJ301" t="s">
        <v>40</v>
      </c>
      <c r="AK301" t="s">
        <v>40</v>
      </c>
      <c r="AL301" t="s">
        <v>40</v>
      </c>
      <c r="AM301" t="s">
        <v>40</v>
      </c>
    </row>
    <row r="302" spans="1:39" x14ac:dyDescent="0.2">
      <c r="A302" s="4" t="s">
        <v>1096</v>
      </c>
      <c r="B302" s="4" t="s">
        <v>1097</v>
      </c>
      <c r="C302" s="4" t="s">
        <v>863</v>
      </c>
      <c r="D302" s="4" t="s">
        <v>40</v>
      </c>
      <c r="E302" s="4" t="s">
        <v>40</v>
      </c>
      <c r="F302" t="s">
        <v>1098</v>
      </c>
      <c r="G302" t="s">
        <v>1099</v>
      </c>
      <c r="H302" t="s">
        <v>1100</v>
      </c>
      <c r="I302" t="s">
        <v>40</v>
      </c>
      <c r="J302" t="s">
        <v>40</v>
      </c>
      <c r="K302" t="s">
        <v>40</v>
      </c>
      <c r="L302" t="s">
        <v>40</v>
      </c>
      <c r="M302">
        <v>0</v>
      </c>
      <c r="N302">
        <v>0</v>
      </c>
      <c r="O302">
        <v>1</v>
      </c>
      <c r="P302">
        <v>0</v>
      </c>
      <c r="Q302" t="s">
        <v>77</v>
      </c>
      <c r="R302" t="b">
        <v>0</v>
      </c>
      <c r="S302" t="s">
        <v>40</v>
      </c>
      <c r="T302" s="1" t="s">
        <v>49</v>
      </c>
      <c r="U302" t="s">
        <v>229</v>
      </c>
      <c r="V302" s="2">
        <v>45286.446226852015</v>
      </c>
      <c r="W302" t="s">
        <v>40</v>
      </c>
      <c r="X302">
        <v>0</v>
      </c>
      <c r="Y302" t="s">
        <v>40</v>
      </c>
      <c r="Z302" t="s">
        <v>40</v>
      </c>
      <c r="AA302" t="s">
        <v>40</v>
      </c>
      <c r="AB302">
        <v>1</v>
      </c>
      <c r="AC302" t="s">
        <v>49</v>
      </c>
      <c r="AD302" t="s">
        <v>40</v>
      </c>
      <c r="AE302" t="s">
        <v>40</v>
      </c>
      <c r="AF302" t="s">
        <v>40</v>
      </c>
      <c r="AG302" t="s">
        <v>40</v>
      </c>
      <c r="AH302" t="s">
        <v>40</v>
      </c>
      <c r="AI302" t="s">
        <v>40</v>
      </c>
      <c r="AJ302" t="s">
        <v>40</v>
      </c>
      <c r="AK302" t="s">
        <v>40</v>
      </c>
      <c r="AL302" t="s">
        <v>40</v>
      </c>
      <c r="AM302" t="s">
        <v>40</v>
      </c>
    </row>
    <row r="303" spans="1:39" x14ac:dyDescent="0.2">
      <c r="A303" s="4" t="s">
        <v>1101</v>
      </c>
      <c r="B303" s="4" t="s">
        <v>1645</v>
      </c>
      <c r="C303" s="4" t="s">
        <v>863</v>
      </c>
      <c r="D303" s="4" t="s">
        <v>863</v>
      </c>
      <c r="E303" s="4" t="s">
        <v>863</v>
      </c>
      <c r="F303" t="s">
        <v>40</v>
      </c>
      <c r="G303" t="s">
        <v>1082</v>
      </c>
      <c r="H303" t="s">
        <v>1083</v>
      </c>
      <c r="I303" t="s">
        <v>40</v>
      </c>
      <c r="J303" t="s">
        <v>40</v>
      </c>
      <c r="K303" t="s">
        <v>40</v>
      </c>
      <c r="L303" t="s">
        <v>40</v>
      </c>
      <c r="M303">
        <v>200.9</v>
      </c>
      <c r="N303">
        <v>0</v>
      </c>
      <c r="O303">
        <v>1</v>
      </c>
      <c r="P303">
        <v>0</v>
      </c>
      <c r="Q303" t="s">
        <v>77</v>
      </c>
      <c r="R303" t="b">
        <v>0</v>
      </c>
      <c r="S303" t="s">
        <v>40</v>
      </c>
      <c r="T303" s="1">
        <v>45293</v>
      </c>
      <c r="U303" t="s">
        <v>229</v>
      </c>
      <c r="V303" s="2">
        <v>45286.607060173526</v>
      </c>
      <c r="W303" t="s">
        <v>40</v>
      </c>
      <c r="X303">
        <v>0</v>
      </c>
      <c r="Y303" t="s">
        <v>40</v>
      </c>
      <c r="Z303" t="s">
        <v>40</v>
      </c>
      <c r="AA303" t="s">
        <v>40</v>
      </c>
      <c r="AB303">
        <v>2</v>
      </c>
      <c r="AC303" t="s">
        <v>49</v>
      </c>
      <c r="AD303" t="s">
        <v>40</v>
      </c>
      <c r="AE303" t="s">
        <v>40</v>
      </c>
      <c r="AF303" t="s">
        <v>40</v>
      </c>
      <c r="AG303" t="s">
        <v>40</v>
      </c>
      <c r="AH303" t="s">
        <v>40</v>
      </c>
      <c r="AI303" t="s">
        <v>40</v>
      </c>
      <c r="AJ303" t="s">
        <v>40</v>
      </c>
      <c r="AK303" t="s">
        <v>40</v>
      </c>
      <c r="AL303" t="s">
        <v>40</v>
      </c>
      <c r="AM303" t="s">
        <v>40</v>
      </c>
    </row>
    <row r="304" spans="1:39" x14ac:dyDescent="0.2">
      <c r="A304" s="4" t="s">
        <v>1102</v>
      </c>
      <c r="B304" s="4" t="s">
        <v>1103</v>
      </c>
      <c r="C304" s="4" t="s">
        <v>863</v>
      </c>
      <c r="D304" s="4" t="s">
        <v>863</v>
      </c>
      <c r="E304" s="4" t="s">
        <v>863</v>
      </c>
      <c r="F304" t="s">
        <v>1104</v>
      </c>
      <c r="G304" t="s">
        <v>1105</v>
      </c>
      <c r="H304" t="s">
        <v>1106</v>
      </c>
      <c r="I304" t="s">
        <v>40</v>
      </c>
      <c r="J304" t="s">
        <v>40</v>
      </c>
      <c r="K304" t="s">
        <v>40</v>
      </c>
      <c r="L304" t="s">
        <v>40</v>
      </c>
      <c r="M304">
        <v>0</v>
      </c>
      <c r="N304">
        <v>0</v>
      </c>
      <c r="O304">
        <v>1</v>
      </c>
      <c r="P304">
        <v>0</v>
      </c>
      <c r="Q304" t="s">
        <v>77</v>
      </c>
      <c r="R304" t="b">
        <v>0</v>
      </c>
      <c r="S304" t="s">
        <v>40</v>
      </c>
      <c r="T304" s="1" t="s">
        <v>49</v>
      </c>
      <c r="U304" t="s">
        <v>229</v>
      </c>
      <c r="V304" s="2">
        <v>45287.418078703806</v>
      </c>
      <c r="W304" t="s">
        <v>40</v>
      </c>
      <c r="X304">
        <v>0</v>
      </c>
      <c r="Y304" t="s">
        <v>40</v>
      </c>
      <c r="Z304" t="s">
        <v>40</v>
      </c>
      <c r="AA304" t="s">
        <v>40</v>
      </c>
      <c r="AB304">
        <v>1</v>
      </c>
      <c r="AC304" t="s">
        <v>49</v>
      </c>
      <c r="AD304" t="s">
        <v>40</v>
      </c>
      <c r="AE304" t="s">
        <v>40</v>
      </c>
      <c r="AF304" t="s">
        <v>40</v>
      </c>
      <c r="AG304" t="s">
        <v>40</v>
      </c>
      <c r="AH304" t="s">
        <v>40</v>
      </c>
      <c r="AI304" t="s">
        <v>40</v>
      </c>
      <c r="AJ304" t="s">
        <v>40</v>
      </c>
      <c r="AK304" t="s">
        <v>40</v>
      </c>
      <c r="AL304" t="s">
        <v>40</v>
      </c>
      <c r="AM304" t="s">
        <v>40</v>
      </c>
    </row>
    <row r="305" spans="1:39" x14ac:dyDescent="0.2">
      <c r="A305" s="4" t="s">
        <v>1107</v>
      </c>
      <c r="B305" s="4" t="s">
        <v>1108</v>
      </c>
      <c r="C305" s="4" t="s">
        <v>863</v>
      </c>
      <c r="D305" s="4" t="s">
        <v>863</v>
      </c>
      <c r="E305" s="4" t="s">
        <v>863</v>
      </c>
      <c r="F305" t="s">
        <v>1109</v>
      </c>
      <c r="G305" t="s">
        <v>1110</v>
      </c>
      <c r="H305" t="s">
        <v>1111</v>
      </c>
      <c r="I305" t="s">
        <v>40</v>
      </c>
      <c r="J305" t="s">
        <v>40</v>
      </c>
      <c r="K305" t="s">
        <v>40</v>
      </c>
      <c r="L305" t="s">
        <v>40</v>
      </c>
      <c r="M305">
        <v>0</v>
      </c>
      <c r="N305">
        <v>0</v>
      </c>
      <c r="O305">
        <v>1</v>
      </c>
      <c r="P305">
        <v>0</v>
      </c>
      <c r="Q305" t="s">
        <v>77</v>
      </c>
      <c r="R305" t="b">
        <v>0</v>
      </c>
      <c r="S305" t="s">
        <v>40</v>
      </c>
      <c r="T305" t="s">
        <v>49</v>
      </c>
      <c r="U305" t="s">
        <v>229</v>
      </c>
      <c r="V305" s="2">
        <v>45287.640648136381</v>
      </c>
      <c r="W305" t="s">
        <v>40</v>
      </c>
      <c r="X305">
        <v>0</v>
      </c>
      <c r="Y305" t="s">
        <v>40</v>
      </c>
      <c r="Z305" t="s">
        <v>40</v>
      </c>
      <c r="AA305" t="s">
        <v>40</v>
      </c>
      <c r="AB305">
        <v>2</v>
      </c>
      <c r="AC305" t="s">
        <v>49</v>
      </c>
      <c r="AD305" t="s">
        <v>40</v>
      </c>
      <c r="AE305" t="s">
        <v>40</v>
      </c>
      <c r="AF305" t="s">
        <v>40</v>
      </c>
      <c r="AG305" t="s">
        <v>40</v>
      </c>
      <c r="AH305" t="s">
        <v>40</v>
      </c>
      <c r="AI305" t="s">
        <v>40</v>
      </c>
      <c r="AJ305" t="s">
        <v>40</v>
      </c>
      <c r="AK305" t="s">
        <v>40</v>
      </c>
      <c r="AL305" t="s">
        <v>40</v>
      </c>
      <c r="AM305" t="s">
        <v>40</v>
      </c>
    </row>
    <row r="306" spans="1:39" x14ac:dyDescent="0.2">
      <c r="A306" s="4" t="s">
        <v>1112</v>
      </c>
      <c r="B306" s="4" t="s">
        <v>1113</v>
      </c>
      <c r="C306" s="4" t="s">
        <v>40</v>
      </c>
      <c r="D306" s="4" t="s">
        <v>40</v>
      </c>
      <c r="E306" s="4" t="s">
        <v>40</v>
      </c>
      <c r="F306" t="s">
        <v>40</v>
      </c>
      <c r="G306" t="s">
        <v>1114</v>
      </c>
      <c r="H306" t="s">
        <v>1115</v>
      </c>
      <c r="I306" t="s">
        <v>40</v>
      </c>
      <c r="J306" t="s">
        <v>40</v>
      </c>
      <c r="K306" t="s">
        <v>40</v>
      </c>
      <c r="L306" t="s">
        <v>40</v>
      </c>
      <c r="M306">
        <v>0</v>
      </c>
      <c r="N306">
        <v>0</v>
      </c>
      <c r="O306">
        <v>1</v>
      </c>
      <c r="P306">
        <v>0</v>
      </c>
      <c r="Q306" t="s">
        <v>77</v>
      </c>
      <c r="R306" t="b">
        <v>0</v>
      </c>
      <c r="S306" t="s">
        <v>40</v>
      </c>
      <c r="T306" s="1" t="s">
        <v>49</v>
      </c>
      <c r="U306" t="s">
        <v>229</v>
      </c>
      <c r="V306">
        <v>45288.413078703918</v>
      </c>
      <c r="W306" t="s">
        <v>40</v>
      </c>
      <c r="X306">
        <v>0</v>
      </c>
      <c r="Y306" t="s">
        <v>40</v>
      </c>
      <c r="Z306" t="s">
        <v>40</v>
      </c>
      <c r="AA306" t="s">
        <v>40</v>
      </c>
      <c r="AB306">
        <v>1</v>
      </c>
      <c r="AC306" t="s">
        <v>49</v>
      </c>
      <c r="AD306" t="s">
        <v>40</v>
      </c>
      <c r="AE306" t="s">
        <v>40</v>
      </c>
      <c r="AF306" t="s">
        <v>40</v>
      </c>
      <c r="AG306" t="s">
        <v>40</v>
      </c>
      <c r="AH306" t="s">
        <v>40</v>
      </c>
      <c r="AI306" t="s">
        <v>40</v>
      </c>
      <c r="AJ306" t="s">
        <v>40</v>
      </c>
      <c r="AK306" t="s">
        <v>40</v>
      </c>
      <c r="AL306" t="s">
        <v>40</v>
      </c>
      <c r="AM306" t="s">
        <v>40</v>
      </c>
    </row>
    <row r="307" spans="1:39" x14ac:dyDescent="0.2">
      <c r="A307" s="4" t="s">
        <v>1116</v>
      </c>
      <c r="B307" s="4" t="s">
        <v>1117</v>
      </c>
      <c r="C307" s="4" t="s">
        <v>40</v>
      </c>
      <c r="D307" s="4" t="s">
        <v>40</v>
      </c>
      <c r="E307" s="4" t="s">
        <v>40</v>
      </c>
      <c r="F307" t="s">
        <v>40</v>
      </c>
      <c r="G307" t="s">
        <v>1118</v>
      </c>
      <c r="H307" t="s">
        <v>1088</v>
      </c>
      <c r="I307" t="s">
        <v>40</v>
      </c>
      <c r="J307" t="s">
        <v>40</v>
      </c>
      <c r="K307" t="s">
        <v>40</v>
      </c>
      <c r="L307" t="s">
        <v>40</v>
      </c>
      <c r="M307">
        <v>0</v>
      </c>
      <c r="N307">
        <v>0</v>
      </c>
      <c r="O307">
        <v>1</v>
      </c>
      <c r="P307">
        <v>0</v>
      </c>
      <c r="Q307" t="s">
        <v>77</v>
      </c>
      <c r="R307" t="b">
        <v>0</v>
      </c>
      <c r="S307" t="s">
        <v>40</v>
      </c>
      <c r="T307" s="1" t="s">
        <v>49</v>
      </c>
      <c r="U307" t="s">
        <v>229</v>
      </c>
      <c r="V307" s="2">
        <v>45289.656712951604</v>
      </c>
      <c r="W307" t="s">
        <v>40</v>
      </c>
      <c r="X307">
        <v>0</v>
      </c>
      <c r="Y307" t="s">
        <v>40</v>
      </c>
      <c r="Z307" t="s">
        <v>40</v>
      </c>
      <c r="AA307" t="s">
        <v>40</v>
      </c>
      <c r="AB307">
        <v>2</v>
      </c>
      <c r="AC307" t="s">
        <v>49</v>
      </c>
      <c r="AD307" t="s">
        <v>40</v>
      </c>
      <c r="AE307" t="s">
        <v>40</v>
      </c>
      <c r="AF307" t="s">
        <v>40</v>
      </c>
      <c r="AG307" t="s">
        <v>40</v>
      </c>
      <c r="AH307" t="s">
        <v>40</v>
      </c>
      <c r="AI307" t="s">
        <v>40</v>
      </c>
      <c r="AJ307" t="s">
        <v>40</v>
      </c>
      <c r="AK307" t="s">
        <v>40</v>
      </c>
      <c r="AL307" t="s">
        <v>40</v>
      </c>
      <c r="AM307" t="s">
        <v>40</v>
      </c>
    </row>
    <row r="308" spans="1:39" x14ac:dyDescent="0.2">
      <c r="A308" s="4" t="s">
        <v>1119</v>
      </c>
      <c r="B308" s="4" t="s">
        <v>1646</v>
      </c>
      <c r="C308" s="4" t="s">
        <v>40</v>
      </c>
      <c r="D308" s="4" t="s">
        <v>40</v>
      </c>
      <c r="E308" s="4" t="s">
        <v>40</v>
      </c>
      <c r="F308" t="s">
        <v>40</v>
      </c>
      <c r="G308" t="s">
        <v>1120</v>
      </c>
      <c r="H308" t="s">
        <v>1121</v>
      </c>
      <c r="I308" t="s">
        <v>40</v>
      </c>
      <c r="J308" t="s">
        <v>40</v>
      </c>
      <c r="K308" t="s">
        <v>40</v>
      </c>
      <c r="L308" t="s">
        <v>40</v>
      </c>
      <c r="M308">
        <v>31.85</v>
      </c>
      <c r="N308">
        <v>0</v>
      </c>
      <c r="O308">
        <v>1</v>
      </c>
      <c r="P308">
        <v>0</v>
      </c>
      <c r="Q308" t="s">
        <v>77</v>
      </c>
      <c r="R308" t="b">
        <v>0</v>
      </c>
      <c r="S308" t="s">
        <v>40</v>
      </c>
      <c r="T308">
        <v>45584</v>
      </c>
      <c r="U308" t="s">
        <v>229</v>
      </c>
      <c r="V308" s="2">
        <v>45293.431134259328</v>
      </c>
      <c r="W308" t="s">
        <v>40</v>
      </c>
      <c r="X308">
        <v>0</v>
      </c>
      <c r="Y308" t="s">
        <v>40</v>
      </c>
      <c r="Z308" t="s">
        <v>40</v>
      </c>
      <c r="AA308" t="s">
        <v>40</v>
      </c>
      <c r="AB308">
        <v>2</v>
      </c>
      <c r="AC308" t="s">
        <v>49</v>
      </c>
      <c r="AD308" t="s">
        <v>40</v>
      </c>
      <c r="AE308" t="s">
        <v>40</v>
      </c>
      <c r="AF308" t="s">
        <v>40</v>
      </c>
      <c r="AG308" t="s">
        <v>40</v>
      </c>
      <c r="AH308" t="s">
        <v>40</v>
      </c>
      <c r="AI308" t="s">
        <v>40</v>
      </c>
      <c r="AJ308" t="s">
        <v>40</v>
      </c>
      <c r="AK308" t="s">
        <v>40</v>
      </c>
      <c r="AL308" t="s">
        <v>40</v>
      </c>
      <c r="AM308" t="s">
        <v>40</v>
      </c>
    </row>
    <row r="309" spans="1:39" x14ac:dyDescent="0.2">
      <c r="A309" s="4" t="s">
        <v>1122</v>
      </c>
      <c r="B309" s="4" t="s">
        <v>1647</v>
      </c>
      <c r="C309" s="4" t="s">
        <v>40</v>
      </c>
      <c r="D309" s="4" t="s">
        <v>40</v>
      </c>
      <c r="E309" s="4" t="s">
        <v>40</v>
      </c>
      <c r="F309" t="s">
        <v>40</v>
      </c>
      <c r="G309" t="s">
        <v>1123</v>
      </c>
      <c r="H309" t="s">
        <v>1124</v>
      </c>
      <c r="I309" t="s">
        <v>40</v>
      </c>
      <c r="J309" t="s">
        <v>40</v>
      </c>
      <c r="K309" t="s">
        <v>40</v>
      </c>
      <c r="L309" t="s">
        <v>40</v>
      </c>
      <c r="M309">
        <v>-92.75</v>
      </c>
      <c r="N309">
        <v>0</v>
      </c>
      <c r="O309">
        <v>1</v>
      </c>
      <c r="P309">
        <v>0</v>
      </c>
      <c r="Q309" t="s">
        <v>77</v>
      </c>
      <c r="R309" t="b">
        <v>0</v>
      </c>
      <c r="S309" t="s">
        <v>40</v>
      </c>
      <c r="T309" s="1">
        <v>45316</v>
      </c>
      <c r="U309" t="s">
        <v>229</v>
      </c>
      <c r="V309" s="2">
        <v>45294.574861111119</v>
      </c>
      <c r="W309" t="s">
        <v>40</v>
      </c>
      <c r="X309">
        <v>0</v>
      </c>
      <c r="Y309" t="s">
        <v>40</v>
      </c>
      <c r="Z309" t="s">
        <v>40</v>
      </c>
      <c r="AA309" t="s">
        <v>40</v>
      </c>
      <c r="AB309">
        <v>0</v>
      </c>
      <c r="AC309" t="s">
        <v>49</v>
      </c>
      <c r="AD309" t="s">
        <v>40</v>
      </c>
      <c r="AE309" t="s">
        <v>40</v>
      </c>
      <c r="AF309" t="s">
        <v>40</v>
      </c>
      <c r="AG309" t="s">
        <v>40</v>
      </c>
      <c r="AH309" t="s">
        <v>40</v>
      </c>
      <c r="AI309" t="s">
        <v>40</v>
      </c>
      <c r="AJ309" t="s">
        <v>40</v>
      </c>
      <c r="AK309" t="s">
        <v>40</v>
      </c>
      <c r="AL309" t="s">
        <v>40</v>
      </c>
      <c r="AM309" t="s">
        <v>40</v>
      </c>
    </row>
    <row r="310" spans="1:39" x14ac:dyDescent="0.2">
      <c r="A310" s="4" t="s">
        <v>1125</v>
      </c>
      <c r="B310" s="4" t="s">
        <v>1648</v>
      </c>
      <c r="C310" s="4" t="s">
        <v>40</v>
      </c>
      <c r="D310" s="4" t="s">
        <v>40</v>
      </c>
      <c r="E310" s="4" t="s">
        <v>40</v>
      </c>
      <c r="F310" t="s">
        <v>40</v>
      </c>
      <c r="G310" t="s">
        <v>1126</v>
      </c>
      <c r="H310" t="s">
        <v>1127</v>
      </c>
      <c r="I310" t="s">
        <v>40</v>
      </c>
      <c r="J310" t="s">
        <v>40</v>
      </c>
      <c r="K310" t="s">
        <v>40</v>
      </c>
      <c r="L310" t="s">
        <v>40</v>
      </c>
      <c r="M310">
        <v>0</v>
      </c>
      <c r="N310">
        <v>0</v>
      </c>
      <c r="O310">
        <v>1</v>
      </c>
      <c r="P310">
        <v>0</v>
      </c>
      <c r="Q310" t="s">
        <v>77</v>
      </c>
      <c r="R310" t="b">
        <v>0</v>
      </c>
      <c r="S310" t="s">
        <v>40</v>
      </c>
      <c r="T310" s="1" t="s">
        <v>49</v>
      </c>
      <c r="U310" t="s">
        <v>229</v>
      </c>
      <c r="V310" s="2">
        <v>45294.642465266399</v>
      </c>
      <c r="W310" t="s">
        <v>40</v>
      </c>
      <c r="X310">
        <v>0</v>
      </c>
      <c r="Y310" t="s">
        <v>40</v>
      </c>
      <c r="Z310" t="s">
        <v>40</v>
      </c>
      <c r="AA310" t="s">
        <v>40</v>
      </c>
      <c r="AB310">
        <v>2</v>
      </c>
      <c r="AC310" t="s">
        <v>49</v>
      </c>
      <c r="AD310" t="s">
        <v>40</v>
      </c>
      <c r="AE310" t="s">
        <v>40</v>
      </c>
      <c r="AF310" t="s">
        <v>40</v>
      </c>
      <c r="AG310" t="s">
        <v>40</v>
      </c>
      <c r="AH310" t="s">
        <v>40</v>
      </c>
      <c r="AI310" t="s">
        <v>40</v>
      </c>
      <c r="AJ310" t="s">
        <v>40</v>
      </c>
      <c r="AK310" t="s">
        <v>40</v>
      </c>
      <c r="AL310" t="s">
        <v>40</v>
      </c>
      <c r="AM310" t="s">
        <v>40</v>
      </c>
    </row>
    <row r="311" spans="1:39" x14ac:dyDescent="0.2">
      <c r="A311" s="4" t="s">
        <v>1128</v>
      </c>
      <c r="B311" s="4" t="s">
        <v>1129</v>
      </c>
      <c r="C311" s="4" t="s">
        <v>863</v>
      </c>
      <c r="D311" s="4" t="s">
        <v>863</v>
      </c>
      <c r="E311" s="4" t="s">
        <v>40</v>
      </c>
      <c r="F311" t="s">
        <v>1130</v>
      </c>
      <c r="G311" t="s">
        <v>1131</v>
      </c>
      <c r="H311" t="s">
        <v>1132</v>
      </c>
      <c r="I311" t="s">
        <v>40</v>
      </c>
      <c r="J311" t="s">
        <v>40</v>
      </c>
      <c r="K311" t="s">
        <v>40</v>
      </c>
      <c r="L311" t="s">
        <v>40</v>
      </c>
      <c r="M311">
        <v>0</v>
      </c>
      <c r="N311">
        <v>0</v>
      </c>
      <c r="O311">
        <v>1</v>
      </c>
      <c r="P311">
        <v>0</v>
      </c>
      <c r="Q311" t="s">
        <v>77</v>
      </c>
      <c r="R311" t="b">
        <v>0</v>
      </c>
      <c r="S311" t="s">
        <v>40</v>
      </c>
      <c r="T311" s="1" t="s">
        <v>49</v>
      </c>
      <c r="U311" t="s">
        <v>229</v>
      </c>
      <c r="V311" s="2">
        <v>45313.486851851922</v>
      </c>
      <c r="W311" t="s">
        <v>1133</v>
      </c>
      <c r="X311">
        <v>0</v>
      </c>
      <c r="Y311" t="s">
        <v>40</v>
      </c>
      <c r="Z311" t="s">
        <v>40</v>
      </c>
      <c r="AA311" t="s">
        <v>40</v>
      </c>
      <c r="AB311">
        <v>0</v>
      </c>
      <c r="AC311" t="s">
        <v>49</v>
      </c>
      <c r="AD311" t="s">
        <v>40</v>
      </c>
      <c r="AE311" t="s">
        <v>40</v>
      </c>
      <c r="AF311" t="s">
        <v>40</v>
      </c>
      <c r="AG311" t="s">
        <v>40</v>
      </c>
      <c r="AH311" t="s">
        <v>40</v>
      </c>
      <c r="AI311" t="s">
        <v>40</v>
      </c>
      <c r="AJ311" t="s">
        <v>40</v>
      </c>
      <c r="AK311" t="s">
        <v>40</v>
      </c>
      <c r="AL311" t="s">
        <v>40</v>
      </c>
      <c r="AM311" t="s">
        <v>40</v>
      </c>
    </row>
    <row r="312" spans="1:39" x14ac:dyDescent="0.2">
      <c r="A312" s="4" t="s">
        <v>1134</v>
      </c>
      <c r="B312" s="4" t="s">
        <v>1649</v>
      </c>
      <c r="C312" s="4" t="s">
        <v>863</v>
      </c>
      <c r="D312" s="4" t="s">
        <v>863</v>
      </c>
      <c r="E312" s="4" t="s">
        <v>40</v>
      </c>
      <c r="F312" t="s">
        <v>40</v>
      </c>
      <c r="G312" t="s">
        <v>1135</v>
      </c>
      <c r="H312" t="s">
        <v>1136</v>
      </c>
      <c r="I312" t="s">
        <v>40</v>
      </c>
      <c r="J312" t="s">
        <v>40</v>
      </c>
      <c r="K312" t="s">
        <v>40</v>
      </c>
      <c r="L312" t="s">
        <v>40</v>
      </c>
      <c r="M312">
        <v>0</v>
      </c>
      <c r="N312">
        <v>0</v>
      </c>
      <c r="O312">
        <v>1</v>
      </c>
      <c r="P312">
        <v>0</v>
      </c>
      <c r="Q312" t="s">
        <v>77</v>
      </c>
      <c r="R312" t="b">
        <v>0</v>
      </c>
      <c r="S312" t="s">
        <v>40</v>
      </c>
      <c r="T312" t="s">
        <v>49</v>
      </c>
      <c r="U312" t="s">
        <v>229</v>
      </c>
      <c r="V312" s="2">
        <v>45313.489583333489</v>
      </c>
      <c r="W312" t="s">
        <v>40</v>
      </c>
      <c r="X312">
        <v>0</v>
      </c>
      <c r="Y312" t="s">
        <v>40</v>
      </c>
      <c r="Z312" t="s">
        <v>40</v>
      </c>
      <c r="AA312" t="s">
        <v>40</v>
      </c>
      <c r="AB312">
        <v>2</v>
      </c>
      <c r="AC312" t="s">
        <v>49</v>
      </c>
      <c r="AD312" t="s">
        <v>40</v>
      </c>
      <c r="AE312" t="s">
        <v>40</v>
      </c>
      <c r="AF312" t="s">
        <v>40</v>
      </c>
      <c r="AG312" t="s">
        <v>40</v>
      </c>
      <c r="AH312" t="s">
        <v>40</v>
      </c>
      <c r="AI312" t="s">
        <v>40</v>
      </c>
      <c r="AJ312" t="s">
        <v>40</v>
      </c>
      <c r="AK312" t="s">
        <v>40</v>
      </c>
      <c r="AL312" t="s">
        <v>40</v>
      </c>
      <c r="AM312" t="s">
        <v>40</v>
      </c>
    </row>
    <row r="313" spans="1:39" x14ac:dyDescent="0.2">
      <c r="A313" s="4" t="s">
        <v>1137</v>
      </c>
      <c r="B313" s="4" t="s">
        <v>1138</v>
      </c>
      <c r="C313" s="4" t="s">
        <v>40</v>
      </c>
      <c r="D313" s="4" t="s">
        <v>40</v>
      </c>
      <c r="E313" s="4" t="s">
        <v>40</v>
      </c>
      <c r="F313" t="s">
        <v>40</v>
      </c>
      <c r="G313" t="s">
        <v>1139</v>
      </c>
      <c r="H313" t="s">
        <v>40</v>
      </c>
      <c r="I313" t="s">
        <v>40</v>
      </c>
      <c r="J313" t="s">
        <v>40</v>
      </c>
      <c r="K313" t="s">
        <v>40</v>
      </c>
      <c r="L313" t="s">
        <v>40</v>
      </c>
      <c r="M313">
        <v>0</v>
      </c>
      <c r="N313">
        <v>0</v>
      </c>
      <c r="O313">
        <v>1</v>
      </c>
      <c r="P313">
        <v>0</v>
      </c>
      <c r="Q313" t="s">
        <v>77</v>
      </c>
      <c r="R313" t="b">
        <v>0</v>
      </c>
      <c r="S313" t="s">
        <v>40</v>
      </c>
      <c r="T313" s="1" t="s">
        <v>49</v>
      </c>
      <c r="U313" t="s">
        <v>229</v>
      </c>
      <c r="V313" s="2">
        <v>45362.696064814925</v>
      </c>
      <c r="W313" t="s">
        <v>1139</v>
      </c>
      <c r="X313">
        <v>0</v>
      </c>
      <c r="Y313" t="s">
        <v>40</v>
      </c>
      <c r="Z313" t="s">
        <v>40</v>
      </c>
      <c r="AA313" t="s">
        <v>40</v>
      </c>
      <c r="AB313">
        <v>1</v>
      </c>
      <c r="AC313" t="s">
        <v>49</v>
      </c>
      <c r="AD313" t="s">
        <v>40</v>
      </c>
      <c r="AE313" t="s">
        <v>40</v>
      </c>
      <c r="AF313" t="s">
        <v>40</v>
      </c>
      <c r="AG313" t="s">
        <v>40</v>
      </c>
      <c r="AH313" t="s">
        <v>40</v>
      </c>
      <c r="AI313" t="s">
        <v>40</v>
      </c>
      <c r="AJ313" t="s">
        <v>40</v>
      </c>
      <c r="AK313" t="s">
        <v>40</v>
      </c>
      <c r="AL313" t="s">
        <v>40</v>
      </c>
      <c r="AM313" t="s">
        <v>40</v>
      </c>
    </row>
    <row r="314" spans="1:39" x14ac:dyDescent="0.2">
      <c r="A314" s="4" t="s">
        <v>1140</v>
      </c>
      <c r="B314" s="4" t="s">
        <v>1141</v>
      </c>
      <c r="C314" s="4" t="s">
        <v>863</v>
      </c>
      <c r="D314" s="4" t="s">
        <v>863</v>
      </c>
      <c r="E314" s="4" t="s">
        <v>863</v>
      </c>
      <c r="F314" t="s">
        <v>40</v>
      </c>
      <c r="G314" t="s">
        <v>1142</v>
      </c>
      <c r="H314" t="s">
        <v>1143</v>
      </c>
      <c r="I314" t="s">
        <v>40</v>
      </c>
      <c r="J314" t="s">
        <v>40</v>
      </c>
      <c r="K314" t="s">
        <v>40</v>
      </c>
      <c r="L314" t="s">
        <v>40</v>
      </c>
      <c r="M314">
        <v>144</v>
      </c>
      <c r="N314">
        <v>0</v>
      </c>
      <c r="O314">
        <v>1</v>
      </c>
      <c r="P314">
        <v>0</v>
      </c>
      <c r="Q314" t="s">
        <v>77</v>
      </c>
      <c r="R314" t="b">
        <v>0</v>
      </c>
      <c r="S314" t="s">
        <v>40</v>
      </c>
      <c r="T314" s="1" t="s">
        <v>49</v>
      </c>
      <c r="U314" t="s">
        <v>229</v>
      </c>
      <c r="V314" s="2">
        <v>45372.482650463004</v>
      </c>
      <c r="W314" t="s">
        <v>40</v>
      </c>
      <c r="X314">
        <v>0</v>
      </c>
      <c r="Y314" t="s">
        <v>40</v>
      </c>
      <c r="Z314" t="s">
        <v>40</v>
      </c>
      <c r="AA314" t="s">
        <v>40</v>
      </c>
      <c r="AB314">
        <v>2</v>
      </c>
      <c r="AC314" t="s">
        <v>49</v>
      </c>
      <c r="AD314" t="s">
        <v>40</v>
      </c>
      <c r="AE314" t="s">
        <v>40</v>
      </c>
      <c r="AF314" t="s">
        <v>40</v>
      </c>
      <c r="AG314" t="s">
        <v>40</v>
      </c>
      <c r="AH314" t="s">
        <v>40</v>
      </c>
      <c r="AI314" t="s">
        <v>40</v>
      </c>
      <c r="AJ314" t="s">
        <v>40</v>
      </c>
      <c r="AK314" t="s">
        <v>40</v>
      </c>
      <c r="AL314" t="s">
        <v>40</v>
      </c>
      <c r="AM314" t="s">
        <v>40</v>
      </c>
    </row>
    <row r="315" spans="1:39" x14ac:dyDescent="0.2">
      <c r="A315" s="4" t="s">
        <v>1144</v>
      </c>
      <c r="B315" s="4" t="s">
        <v>1145</v>
      </c>
      <c r="C315" s="4" t="s">
        <v>863</v>
      </c>
      <c r="D315" s="4" t="s">
        <v>863</v>
      </c>
      <c r="E315" s="4" t="s">
        <v>863</v>
      </c>
      <c r="F315" t="s">
        <v>430</v>
      </c>
      <c r="G315" t="s">
        <v>1146</v>
      </c>
      <c r="H315" t="s">
        <v>40</v>
      </c>
      <c r="I315" t="s">
        <v>40</v>
      </c>
      <c r="J315" t="s">
        <v>40</v>
      </c>
      <c r="K315" t="s">
        <v>40</v>
      </c>
      <c r="L315" t="s">
        <v>40</v>
      </c>
      <c r="M315">
        <v>0</v>
      </c>
      <c r="N315">
        <v>0</v>
      </c>
      <c r="O315">
        <v>1</v>
      </c>
      <c r="P315">
        <v>0</v>
      </c>
      <c r="Q315" t="s">
        <v>77</v>
      </c>
      <c r="R315" t="b">
        <v>0</v>
      </c>
      <c r="S315" t="s">
        <v>40</v>
      </c>
      <c r="T315" s="1" t="s">
        <v>49</v>
      </c>
      <c r="U315" t="s">
        <v>229</v>
      </c>
      <c r="V315" s="2">
        <v>45376.488680543844</v>
      </c>
      <c r="W315" t="s">
        <v>40</v>
      </c>
      <c r="X315">
        <v>0</v>
      </c>
      <c r="Y315" t="s">
        <v>40</v>
      </c>
      <c r="Z315" t="s">
        <v>40</v>
      </c>
      <c r="AA315" t="s">
        <v>40</v>
      </c>
      <c r="AB315">
        <v>1</v>
      </c>
      <c r="AC315" t="s">
        <v>49</v>
      </c>
      <c r="AD315" t="s">
        <v>40</v>
      </c>
      <c r="AE315" t="s">
        <v>40</v>
      </c>
      <c r="AF315" t="s">
        <v>40</v>
      </c>
      <c r="AG315" t="s">
        <v>40</v>
      </c>
      <c r="AH315" t="s">
        <v>40</v>
      </c>
      <c r="AI315" t="s">
        <v>40</v>
      </c>
      <c r="AJ315" t="s">
        <v>40</v>
      </c>
      <c r="AK315" t="s">
        <v>40</v>
      </c>
      <c r="AL315" t="s">
        <v>40</v>
      </c>
      <c r="AM315" t="s">
        <v>40</v>
      </c>
    </row>
    <row r="316" spans="1:39" x14ac:dyDescent="0.2">
      <c r="A316" s="4" t="s">
        <v>1147</v>
      </c>
      <c r="B316" s="4" t="s">
        <v>1148</v>
      </c>
      <c r="C316" s="4" t="s">
        <v>863</v>
      </c>
      <c r="D316" s="4" t="s">
        <v>863</v>
      </c>
      <c r="E316" s="4" t="s">
        <v>863</v>
      </c>
      <c r="F316" t="s">
        <v>1149</v>
      </c>
      <c r="G316" t="s">
        <v>1150</v>
      </c>
      <c r="H316" t="s">
        <v>1151</v>
      </c>
      <c r="I316" t="s">
        <v>40</v>
      </c>
      <c r="J316" t="s">
        <v>40</v>
      </c>
      <c r="K316" t="s">
        <v>40</v>
      </c>
      <c r="L316" t="s">
        <v>40</v>
      </c>
      <c r="M316">
        <v>0</v>
      </c>
      <c r="N316">
        <v>0</v>
      </c>
      <c r="O316">
        <v>1</v>
      </c>
      <c r="P316">
        <v>0</v>
      </c>
      <c r="Q316" t="s">
        <v>77</v>
      </c>
      <c r="R316" t="b">
        <v>0</v>
      </c>
      <c r="S316" t="s">
        <v>40</v>
      </c>
      <c r="T316" s="1" t="s">
        <v>49</v>
      </c>
      <c r="U316" t="s">
        <v>229</v>
      </c>
      <c r="V316" s="2">
        <v>45376.563101840205</v>
      </c>
      <c r="W316" t="s">
        <v>40</v>
      </c>
      <c r="X316">
        <v>0</v>
      </c>
      <c r="Y316" t="s">
        <v>40</v>
      </c>
      <c r="Z316" t="s">
        <v>40</v>
      </c>
      <c r="AA316" t="s">
        <v>40</v>
      </c>
      <c r="AB316">
        <v>1</v>
      </c>
      <c r="AC316" s="1" t="s">
        <v>49</v>
      </c>
      <c r="AD316" t="s">
        <v>40</v>
      </c>
      <c r="AE316" t="s">
        <v>40</v>
      </c>
      <c r="AF316" t="s">
        <v>40</v>
      </c>
      <c r="AG316" t="s">
        <v>40</v>
      </c>
      <c r="AH316" t="s">
        <v>40</v>
      </c>
      <c r="AI316" t="s">
        <v>40</v>
      </c>
      <c r="AJ316" t="s">
        <v>40</v>
      </c>
      <c r="AK316" t="s">
        <v>40</v>
      </c>
      <c r="AL316" t="s">
        <v>40</v>
      </c>
      <c r="AM316" t="s">
        <v>40</v>
      </c>
    </row>
    <row r="317" spans="1:39" x14ac:dyDescent="0.2">
      <c r="A317" s="4" t="s">
        <v>1152</v>
      </c>
      <c r="B317" s="4" t="s">
        <v>1650</v>
      </c>
      <c r="C317" s="4" t="s">
        <v>293</v>
      </c>
      <c r="D317" s="4" t="s">
        <v>863</v>
      </c>
      <c r="E317" s="4" t="s">
        <v>863</v>
      </c>
      <c r="F317" t="s">
        <v>1153</v>
      </c>
      <c r="G317" t="s">
        <v>1154</v>
      </c>
      <c r="H317" t="s">
        <v>1155</v>
      </c>
      <c r="I317" t="s">
        <v>40</v>
      </c>
      <c r="J317" t="s">
        <v>40</v>
      </c>
      <c r="K317" t="s">
        <v>40</v>
      </c>
      <c r="L317" t="s">
        <v>40</v>
      </c>
      <c r="M317">
        <v>0</v>
      </c>
      <c r="N317">
        <v>0</v>
      </c>
      <c r="O317">
        <v>1</v>
      </c>
      <c r="P317">
        <v>0</v>
      </c>
      <c r="Q317" t="s">
        <v>77</v>
      </c>
      <c r="R317" t="b">
        <v>0</v>
      </c>
      <c r="S317" t="s">
        <v>40</v>
      </c>
      <c r="T317" t="s">
        <v>49</v>
      </c>
      <c r="U317" t="s">
        <v>229</v>
      </c>
      <c r="V317" s="2">
        <v>45377.496666654944</v>
      </c>
      <c r="W317" t="s">
        <v>40</v>
      </c>
      <c r="X317">
        <v>0</v>
      </c>
      <c r="Y317" t="s">
        <v>40</v>
      </c>
      <c r="Z317" t="s">
        <v>40</v>
      </c>
      <c r="AA317" t="s">
        <v>40</v>
      </c>
      <c r="AB317">
        <v>1</v>
      </c>
      <c r="AC317" t="s">
        <v>49</v>
      </c>
      <c r="AD317" t="s">
        <v>40</v>
      </c>
      <c r="AE317" t="s">
        <v>40</v>
      </c>
      <c r="AF317" t="s">
        <v>40</v>
      </c>
      <c r="AG317" t="s">
        <v>40</v>
      </c>
      <c r="AH317" t="s">
        <v>40</v>
      </c>
      <c r="AI317" t="s">
        <v>40</v>
      </c>
      <c r="AJ317" t="s">
        <v>40</v>
      </c>
      <c r="AK317" t="s">
        <v>40</v>
      </c>
      <c r="AL317" t="s">
        <v>40</v>
      </c>
      <c r="AM317" t="s">
        <v>40</v>
      </c>
    </row>
    <row r="318" spans="1:39" x14ac:dyDescent="0.2">
      <c r="A318" s="4" t="s">
        <v>1156</v>
      </c>
      <c r="B318" s="4" t="s">
        <v>1651</v>
      </c>
      <c r="C318" s="4" t="s">
        <v>863</v>
      </c>
      <c r="D318" s="4" t="s">
        <v>863</v>
      </c>
      <c r="E318" s="4" t="s">
        <v>863</v>
      </c>
      <c r="F318" t="s">
        <v>1157</v>
      </c>
      <c r="G318" t="s">
        <v>1158</v>
      </c>
      <c r="H318" t="s">
        <v>1159</v>
      </c>
      <c r="I318" t="s">
        <v>40</v>
      </c>
      <c r="J318" t="s">
        <v>40</v>
      </c>
      <c r="K318" t="s">
        <v>40</v>
      </c>
      <c r="L318" t="s">
        <v>40</v>
      </c>
      <c r="M318">
        <v>70.5</v>
      </c>
      <c r="N318">
        <v>0</v>
      </c>
      <c r="O318">
        <v>1</v>
      </c>
      <c r="P318">
        <v>0</v>
      </c>
      <c r="Q318" t="s">
        <v>77</v>
      </c>
      <c r="R318" t="b">
        <v>0</v>
      </c>
      <c r="S318" t="s">
        <v>40</v>
      </c>
      <c r="T318" t="s">
        <v>49</v>
      </c>
      <c r="U318" t="s">
        <v>229</v>
      </c>
      <c r="V318" s="2">
        <v>45377.643773148302</v>
      </c>
      <c r="W318" t="s">
        <v>40</v>
      </c>
      <c r="X318">
        <v>0</v>
      </c>
      <c r="Y318" t="s">
        <v>40</v>
      </c>
      <c r="Z318" t="s">
        <v>40</v>
      </c>
      <c r="AA318" t="s">
        <v>40</v>
      </c>
      <c r="AB318">
        <v>2</v>
      </c>
      <c r="AC318" t="s">
        <v>49</v>
      </c>
      <c r="AD318" t="s">
        <v>40</v>
      </c>
      <c r="AE318" t="s">
        <v>40</v>
      </c>
      <c r="AF318" t="s">
        <v>40</v>
      </c>
      <c r="AG318" t="s">
        <v>40</v>
      </c>
      <c r="AH318" t="s">
        <v>40</v>
      </c>
      <c r="AI318" t="s">
        <v>40</v>
      </c>
      <c r="AJ318" t="s">
        <v>40</v>
      </c>
      <c r="AK318" t="s">
        <v>40</v>
      </c>
      <c r="AL318" t="s">
        <v>40</v>
      </c>
      <c r="AM318" t="s">
        <v>40</v>
      </c>
    </row>
    <row r="319" spans="1:39" x14ac:dyDescent="0.2">
      <c r="A319" s="4" t="s">
        <v>1160</v>
      </c>
      <c r="B319" s="4" t="s">
        <v>1161</v>
      </c>
      <c r="C319" s="4" t="s">
        <v>40</v>
      </c>
      <c r="D319" s="4" t="s">
        <v>40</v>
      </c>
      <c r="E319" s="4" t="s">
        <v>40</v>
      </c>
      <c r="F319" t="s">
        <v>40</v>
      </c>
      <c r="G319" t="s">
        <v>1160</v>
      </c>
      <c r="H319" t="s">
        <v>40</v>
      </c>
      <c r="I319" t="s">
        <v>40</v>
      </c>
      <c r="J319" t="s">
        <v>40</v>
      </c>
      <c r="K319" t="s">
        <v>40</v>
      </c>
      <c r="L319" t="s">
        <v>40</v>
      </c>
      <c r="M319">
        <v>0</v>
      </c>
      <c r="N319">
        <v>0</v>
      </c>
      <c r="O319">
        <v>1</v>
      </c>
      <c r="P319">
        <v>0</v>
      </c>
      <c r="Q319" t="s">
        <v>1162</v>
      </c>
      <c r="R319" t="b">
        <v>0</v>
      </c>
      <c r="S319" t="s">
        <v>40</v>
      </c>
      <c r="T319" t="s">
        <v>49</v>
      </c>
      <c r="U319" t="s">
        <v>1163</v>
      </c>
      <c r="V319" s="2">
        <v>45499.474479166791</v>
      </c>
      <c r="W319" t="s">
        <v>40</v>
      </c>
      <c r="X319">
        <v>0</v>
      </c>
      <c r="Y319" t="s">
        <v>40</v>
      </c>
      <c r="Z319" t="s">
        <v>40</v>
      </c>
      <c r="AA319" t="s">
        <v>40</v>
      </c>
      <c r="AB319">
        <v>1</v>
      </c>
      <c r="AC319" t="s">
        <v>49</v>
      </c>
      <c r="AD319" t="s">
        <v>40</v>
      </c>
      <c r="AE319" t="s">
        <v>40</v>
      </c>
      <c r="AF319" t="s">
        <v>40</v>
      </c>
      <c r="AG319" t="s">
        <v>40</v>
      </c>
      <c r="AH319" t="s">
        <v>40</v>
      </c>
      <c r="AI319" t="s">
        <v>40</v>
      </c>
      <c r="AJ319" t="s">
        <v>40</v>
      </c>
      <c r="AK319" t="s">
        <v>40</v>
      </c>
      <c r="AL319" t="s">
        <v>40</v>
      </c>
      <c r="AM319" t="s">
        <v>40</v>
      </c>
    </row>
    <row r="320" spans="1:39" x14ac:dyDescent="0.2">
      <c r="A320" s="4" t="s">
        <v>1164</v>
      </c>
      <c r="B320" s="4" t="s">
        <v>1652</v>
      </c>
      <c r="C320" s="4" t="s">
        <v>1775</v>
      </c>
      <c r="D320" s="4" t="s">
        <v>51</v>
      </c>
      <c r="E320" s="4" t="s">
        <v>51</v>
      </c>
      <c r="F320" t="s">
        <v>40</v>
      </c>
      <c r="G320" t="s">
        <v>1166</v>
      </c>
      <c r="H320" t="s">
        <v>1167</v>
      </c>
      <c r="I320" t="s">
        <v>40</v>
      </c>
      <c r="J320" t="s">
        <v>40</v>
      </c>
      <c r="K320" t="s">
        <v>40</v>
      </c>
      <c r="L320" t="s">
        <v>40</v>
      </c>
      <c r="M320">
        <v>59.88</v>
      </c>
      <c r="N320">
        <v>0</v>
      </c>
      <c r="O320">
        <v>1</v>
      </c>
      <c r="P320">
        <v>0</v>
      </c>
      <c r="Q320" t="s">
        <v>77</v>
      </c>
      <c r="R320" t="b">
        <v>0</v>
      </c>
      <c r="S320" t="s">
        <v>40</v>
      </c>
      <c r="T320" s="1" t="s">
        <v>49</v>
      </c>
      <c r="U320" t="s">
        <v>1163</v>
      </c>
      <c r="V320" s="2">
        <v>45514.422685173806</v>
      </c>
      <c r="W320" t="s">
        <v>40</v>
      </c>
      <c r="X320">
        <v>0</v>
      </c>
      <c r="Y320" t="s">
        <v>40</v>
      </c>
      <c r="Z320" t="s">
        <v>40</v>
      </c>
      <c r="AA320" t="s">
        <v>40</v>
      </c>
      <c r="AB320">
        <v>2</v>
      </c>
      <c r="AC320" t="s">
        <v>49</v>
      </c>
      <c r="AD320" t="s">
        <v>40</v>
      </c>
      <c r="AE320" t="s">
        <v>40</v>
      </c>
      <c r="AF320" t="s">
        <v>1165</v>
      </c>
      <c r="AG320" t="s">
        <v>40</v>
      </c>
      <c r="AH320" t="s">
        <v>40</v>
      </c>
      <c r="AI320" t="s">
        <v>40</v>
      </c>
      <c r="AJ320" t="s">
        <v>46</v>
      </c>
      <c r="AK320" t="s">
        <v>419</v>
      </c>
      <c r="AL320" t="s">
        <v>420</v>
      </c>
      <c r="AM320" t="s">
        <v>421</v>
      </c>
    </row>
    <row r="321" spans="1:39" x14ac:dyDescent="0.2">
      <c r="A321" s="4" t="s">
        <v>1168</v>
      </c>
      <c r="B321" s="4" t="s">
        <v>1169</v>
      </c>
      <c r="C321" s="4" t="s">
        <v>40</v>
      </c>
      <c r="D321" s="4" t="s">
        <v>40</v>
      </c>
      <c r="E321" s="4" t="s">
        <v>40</v>
      </c>
      <c r="F321" t="s">
        <v>40</v>
      </c>
      <c r="G321" t="s">
        <v>1168</v>
      </c>
      <c r="H321" t="s">
        <v>40</v>
      </c>
      <c r="I321" t="s">
        <v>40</v>
      </c>
      <c r="J321" t="s">
        <v>40</v>
      </c>
      <c r="K321" t="s">
        <v>40</v>
      </c>
      <c r="L321" t="s">
        <v>40</v>
      </c>
      <c r="M321">
        <v>4.9000000000000004</v>
      </c>
      <c r="N321">
        <v>0</v>
      </c>
      <c r="O321">
        <v>1</v>
      </c>
      <c r="P321">
        <v>0</v>
      </c>
      <c r="Q321" t="s">
        <v>77</v>
      </c>
      <c r="R321" t="b">
        <v>0</v>
      </c>
      <c r="S321" t="s">
        <v>40</v>
      </c>
      <c r="T321" s="1">
        <v>45365</v>
      </c>
      <c r="U321" t="s">
        <v>1163</v>
      </c>
      <c r="V321" s="2">
        <v>45514.494340266101</v>
      </c>
      <c r="W321" t="s">
        <v>40</v>
      </c>
      <c r="X321">
        <v>0</v>
      </c>
      <c r="Y321" t="s">
        <v>40</v>
      </c>
      <c r="Z321" t="s">
        <v>40</v>
      </c>
      <c r="AA321" t="s">
        <v>40</v>
      </c>
      <c r="AB321">
        <v>0</v>
      </c>
      <c r="AC321" t="s">
        <v>49</v>
      </c>
      <c r="AD321" t="s">
        <v>40</v>
      </c>
      <c r="AE321" t="s">
        <v>40</v>
      </c>
      <c r="AF321" t="s">
        <v>40</v>
      </c>
      <c r="AG321" t="s">
        <v>40</v>
      </c>
      <c r="AH321" t="s">
        <v>40</v>
      </c>
      <c r="AI321" t="s">
        <v>40</v>
      </c>
      <c r="AJ321" t="s">
        <v>40</v>
      </c>
      <c r="AK321" t="s">
        <v>40</v>
      </c>
      <c r="AL321" t="s">
        <v>40</v>
      </c>
      <c r="AM321" t="s">
        <v>40</v>
      </c>
    </row>
    <row r="322" spans="1:39" x14ac:dyDescent="0.2">
      <c r="A322" s="4" t="s">
        <v>1170</v>
      </c>
      <c r="B322" s="4" t="s">
        <v>1653</v>
      </c>
      <c r="C322" s="4" t="s">
        <v>40</v>
      </c>
      <c r="D322" s="4" t="s">
        <v>51</v>
      </c>
      <c r="E322" s="4" t="s">
        <v>51</v>
      </c>
      <c r="F322" t="s">
        <v>40</v>
      </c>
      <c r="G322" t="s">
        <v>1171</v>
      </c>
      <c r="H322" t="s">
        <v>1172</v>
      </c>
      <c r="I322" t="s">
        <v>40</v>
      </c>
      <c r="J322" t="s">
        <v>40</v>
      </c>
      <c r="K322" t="s">
        <v>40</v>
      </c>
      <c r="L322" t="s">
        <v>40</v>
      </c>
      <c r="M322">
        <v>0</v>
      </c>
      <c r="N322">
        <v>0</v>
      </c>
      <c r="O322">
        <v>1</v>
      </c>
      <c r="P322">
        <v>0</v>
      </c>
      <c r="Q322" t="s">
        <v>77</v>
      </c>
      <c r="R322" t="b">
        <v>0</v>
      </c>
      <c r="S322" t="s">
        <v>40</v>
      </c>
      <c r="T322" t="s">
        <v>49</v>
      </c>
      <c r="U322" t="s">
        <v>1173</v>
      </c>
      <c r="V322" s="2">
        <v>45518.471064814832</v>
      </c>
      <c r="W322" t="s">
        <v>40</v>
      </c>
      <c r="X322">
        <v>0</v>
      </c>
      <c r="Y322" t="s">
        <v>40</v>
      </c>
      <c r="Z322" t="s">
        <v>40</v>
      </c>
      <c r="AA322" t="s">
        <v>40</v>
      </c>
      <c r="AB322">
        <v>2</v>
      </c>
      <c r="AC322" t="s">
        <v>49</v>
      </c>
      <c r="AD322" t="s">
        <v>40</v>
      </c>
      <c r="AE322" t="s">
        <v>40</v>
      </c>
      <c r="AF322" t="s">
        <v>40</v>
      </c>
      <c r="AG322" t="s">
        <v>40</v>
      </c>
      <c r="AH322" t="s">
        <v>40</v>
      </c>
      <c r="AI322" t="s">
        <v>40</v>
      </c>
      <c r="AJ322" t="s">
        <v>46</v>
      </c>
      <c r="AK322" t="s">
        <v>419</v>
      </c>
      <c r="AL322" t="s">
        <v>420</v>
      </c>
      <c r="AM322" t="s">
        <v>421</v>
      </c>
    </row>
    <row r="323" spans="1:39" x14ac:dyDescent="0.2">
      <c r="A323" s="4" t="s">
        <v>1174</v>
      </c>
      <c r="B323" s="4" t="s">
        <v>1654</v>
      </c>
      <c r="C323" s="4" t="s">
        <v>1776</v>
      </c>
      <c r="D323" s="4" t="s">
        <v>40</v>
      </c>
      <c r="E323" s="4" t="s">
        <v>40</v>
      </c>
      <c r="F323" t="s">
        <v>40</v>
      </c>
      <c r="G323" t="s">
        <v>1176</v>
      </c>
      <c r="H323" t="s">
        <v>1177</v>
      </c>
      <c r="I323" t="s">
        <v>40</v>
      </c>
      <c r="J323" t="s">
        <v>40</v>
      </c>
      <c r="K323" t="s">
        <v>40</v>
      </c>
      <c r="L323" t="s">
        <v>40</v>
      </c>
      <c r="M323">
        <v>0</v>
      </c>
      <c r="N323">
        <v>0</v>
      </c>
      <c r="O323">
        <v>1</v>
      </c>
      <c r="P323">
        <v>0</v>
      </c>
      <c r="Q323" t="s">
        <v>77</v>
      </c>
      <c r="R323" t="b">
        <v>0</v>
      </c>
      <c r="S323" t="s">
        <v>40</v>
      </c>
      <c r="T323" t="s">
        <v>49</v>
      </c>
      <c r="U323" t="s">
        <v>1163</v>
      </c>
      <c r="V323" s="2">
        <v>45518.566944444552</v>
      </c>
      <c r="W323" t="s">
        <v>40</v>
      </c>
      <c r="X323">
        <v>0</v>
      </c>
      <c r="Y323" t="s">
        <v>40</v>
      </c>
      <c r="Z323" t="s">
        <v>40</v>
      </c>
      <c r="AA323" t="s">
        <v>40</v>
      </c>
      <c r="AB323">
        <v>2</v>
      </c>
      <c r="AC323" t="s">
        <v>49</v>
      </c>
      <c r="AD323" t="s">
        <v>40</v>
      </c>
      <c r="AE323" t="s">
        <v>40</v>
      </c>
      <c r="AF323" t="s">
        <v>1175</v>
      </c>
      <c r="AG323" t="s">
        <v>40</v>
      </c>
      <c r="AH323" t="s">
        <v>40</v>
      </c>
      <c r="AI323" t="s">
        <v>40</v>
      </c>
      <c r="AJ323" t="s">
        <v>40</v>
      </c>
      <c r="AK323" t="s">
        <v>40</v>
      </c>
      <c r="AL323" t="s">
        <v>40</v>
      </c>
      <c r="AM323" t="s">
        <v>40</v>
      </c>
    </row>
    <row r="324" spans="1:39" x14ac:dyDescent="0.2">
      <c r="A324" s="4" t="s">
        <v>1178</v>
      </c>
      <c r="B324" s="4" t="s">
        <v>1655</v>
      </c>
      <c r="C324" s="4" t="s">
        <v>1777</v>
      </c>
      <c r="D324" s="4" t="s">
        <v>51</v>
      </c>
      <c r="E324" s="4" t="s">
        <v>51</v>
      </c>
      <c r="F324" t="s">
        <v>40</v>
      </c>
      <c r="G324" t="s">
        <v>1179</v>
      </c>
      <c r="H324" t="s">
        <v>1180</v>
      </c>
      <c r="I324" t="s">
        <v>40</v>
      </c>
      <c r="J324" t="s">
        <v>40</v>
      </c>
      <c r="K324" t="s">
        <v>40</v>
      </c>
      <c r="L324" t="s">
        <v>40</v>
      </c>
      <c r="M324">
        <v>38.050000000000004</v>
      </c>
      <c r="N324">
        <v>0</v>
      </c>
      <c r="O324">
        <v>1</v>
      </c>
      <c r="P324">
        <v>0</v>
      </c>
      <c r="Q324" t="s">
        <v>77</v>
      </c>
      <c r="R324" t="b">
        <v>0</v>
      </c>
      <c r="S324" t="s">
        <v>40</v>
      </c>
      <c r="T324" s="1" t="s">
        <v>49</v>
      </c>
      <c r="U324" t="s">
        <v>1173</v>
      </c>
      <c r="V324" s="2">
        <v>45519.373842592817</v>
      </c>
      <c r="W324" t="s">
        <v>40</v>
      </c>
      <c r="X324">
        <v>0</v>
      </c>
      <c r="Y324" t="s">
        <v>40</v>
      </c>
      <c r="Z324" t="s">
        <v>40</v>
      </c>
      <c r="AA324" t="s">
        <v>40</v>
      </c>
      <c r="AB324">
        <v>0</v>
      </c>
      <c r="AC324" t="s">
        <v>49</v>
      </c>
      <c r="AD324" t="s">
        <v>40</v>
      </c>
      <c r="AE324" t="s">
        <v>40</v>
      </c>
      <c r="AF324" t="s">
        <v>40</v>
      </c>
      <c r="AG324" t="s">
        <v>40</v>
      </c>
      <c r="AH324" t="s">
        <v>40</v>
      </c>
      <c r="AI324" t="s">
        <v>40</v>
      </c>
      <c r="AJ324" t="s">
        <v>46</v>
      </c>
      <c r="AK324" t="s">
        <v>419</v>
      </c>
      <c r="AL324" t="s">
        <v>420</v>
      </c>
      <c r="AM324" t="s">
        <v>421</v>
      </c>
    </row>
    <row r="325" spans="1:39" x14ac:dyDescent="0.2">
      <c r="A325" s="4" t="s">
        <v>1181</v>
      </c>
      <c r="B325" s="4" t="s">
        <v>1656</v>
      </c>
      <c r="C325" s="4" t="s">
        <v>1778</v>
      </c>
      <c r="D325" s="4" t="s">
        <v>1182</v>
      </c>
      <c r="E325" s="4" t="s">
        <v>336</v>
      </c>
      <c r="F325" t="s">
        <v>40</v>
      </c>
      <c r="G325" t="s">
        <v>1183</v>
      </c>
      <c r="H325" t="s">
        <v>1184</v>
      </c>
      <c r="I325" t="s">
        <v>40</v>
      </c>
      <c r="J325" t="s">
        <v>40</v>
      </c>
      <c r="K325" t="s">
        <v>40</v>
      </c>
      <c r="L325" t="s">
        <v>40</v>
      </c>
      <c r="M325">
        <v>9.8000000000000007</v>
      </c>
      <c r="N325">
        <v>0</v>
      </c>
      <c r="O325">
        <v>1</v>
      </c>
      <c r="P325">
        <v>0</v>
      </c>
      <c r="Q325" t="s">
        <v>77</v>
      </c>
      <c r="R325" t="b">
        <v>0</v>
      </c>
      <c r="S325" t="s">
        <v>40</v>
      </c>
      <c r="T325" s="1" t="s">
        <v>49</v>
      </c>
      <c r="U325" t="s">
        <v>1173</v>
      </c>
      <c r="V325" s="2">
        <v>45519.382847210858</v>
      </c>
      <c r="W325" t="s">
        <v>40</v>
      </c>
      <c r="X325">
        <v>0</v>
      </c>
      <c r="Y325" t="s">
        <v>40</v>
      </c>
      <c r="Z325" t="s">
        <v>40</v>
      </c>
      <c r="AA325" t="s">
        <v>40</v>
      </c>
      <c r="AB325">
        <v>0</v>
      </c>
      <c r="AC325" t="s">
        <v>49</v>
      </c>
      <c r="AD325" t="s">
        <v>40</v>
      </c>
      <c r="AE325" t="s">
        <v>40</v>
      </c>
      <c r="AF325" t="s">
        <v>40</v>
      </c>
      <c r="AG325" t="s">
        <v>40</v>
      </c>
      <c r="AH325" t="s">
        <v>40</v>
      </c>
      <c r="AI325" t="s">
        <v>40</v>
      </c>
      <c r="AJ325" t="s">
        <v>1185</v>
      </c>
      <c r="AK325" t="s">
        <v>1186</v>
      </c>
      <c r="AL325" t="s">
        <v>420</v>
      </c>
      <c r="AM325" t="s">
        <v>421</v>
      </c>
    </row>
    <row r="326" spans="1:39" x14ac:dyDescent="0.2">
      <c r="A326" s="4" t="s">
        <v>1187</v>
      </c>
      <c r="B326" s="4" t="s">
        <v>1188</v>
      </c>
      <c r="C326" s="4" t="s">
        <v>40</v>
      </c>
      <c r="D326" s="4" t="s">
        <v>1189</v>
      </c>
      <c r="E326" s="4" t="s">
        <v>336</v>
      </c>
      <c r="F326" t="s">
        <v>40</v>
      </c>
      <c r="G326" t="s">
        <v>1187</v>
      </c>
      <c r="H326" t="s">
        <v>40</v>
      </c>
      <c r="I326" t="s">
        <v>40</v>
      </c>
      <c r="J326" t="s">
        <v>40</v>
      </c>
      <c r="K326" t="s">
        <v>40</v>
      </c>
      <c r="L326" t="s">
        <v>40</v>
      </c>
      <c r="M326">
        <v>73.650000000000006</v>
      </c>
      <c r="N326">
        <v>0</v>
      </c>
      <c r="O326">
        <v>1</v>
      </c>
      <c r="P326">
        <v>0</v>
      </c>
      <c r="Q326" t="s">
        <v>77</v>
      </c>
      <c r="R326" t="b">
        <v>0</v>
      </c>
      <c r="S326" t="s">
        <v>40</v>
      </c>
      <c r="T326" s="1" t="s">
        <v>49</v>
      </c>
      <c r="U326" t="s">
        <v>1173</v>
      </c>
      <c r="V326" s="2">
        <v>45519.407546284609</v>
      </c>
      <c r="W326" t="s">
        <v>40</v>
      </c>
      <c r="X326">
        <v>0</v>
      </c>
      <c r="Y326" t="s">
        <v>40</v>
      </c>
      <c r="Z326" t="s">
        <v>40</v>
      </c>
      <c r="AA326" t="s">
        <v>40</v>
      </c>
      <c r="AB326">
        <v>0</v>
      </c>
      <c r="AC326" t="s">
        <v>49</v>
      </c>
      <c r="AD326" t="s">
        <v>40</v>
      </c>
      <c r="AE326" t="s">
        <v>40</v>
      </c>
      <c r="AF326" t="s">
        <v>40</v>
      </c>
      <c r="AG326" t="s">
        <v>40</v>
      </c>
      <c r="AH326" t="s">
        <v>40</v>
      </c>
      <c r="AI326" t="s">
        <v>40</v>
      </c>
      <c r="AJ326" t="s">
        <v>1185</v>
      </c>
      <c r="AK326" t="s">
        <v>1190</v>
      </c>
      <c r="AL326" t="s">
        <v>420</v>
      </c>
      <c r="AM326" t="s">
        <v>421</v>
      </c>
    </row>
    <row r="327" spans="1:39" x14ac:dyDescent="0.2">
      <c r="A327" s="4" t="s">
        <v>1191</v>
      </c>
      <c r="B327" s="4" t="s">
        <v>1192</v>
      </c>
      <c r="C327" s="4" t="s">
        <v>40</v>
      </c>
      <c r="D327" s="4" t="s">
        <v>51</v>
      </c>
      <c r="E327" s="4" t="s">
        <v>51</v>
      </c>
      <c r="F327" t="s">
        <v>40</v>
      </c>
      <c r="G327" t="s">
        <v>40</v>
      </c>
      <c r="H327" t="s">
        <v>1193</v>
      </c>
      <c r="I327" t="s">
        <v>40</v>
      </c>
      <c r="J327" t="s">
        <v>40</v>
      </c>
      <c r="K327" t="s">
        <v>40</v>
      </c>
      <c r="L327" t="s">
        <v>40</v>
      </c>
      <c r="M327">
        <v>21</v>
      </c>
      <c r="N327">
        <v>0</v>
      </c>
      <c r="O327">
        <v>1</v>
      </c>
      <c r="P327">
        <v>0</v>
      </c>
      <c r="Q327" t="s">
        <v>77</v>
      </c>
      <c r="R327" t="b">
        <v>0</v>
      </c>
      <c r="S327" t="s">
        <v>40</v>
      </c>
      <c r="T327" t="s">
        <v>49</v>
      </c>
      <c r="U327" t="s">
        <v>1173</v>
      </c>
      <c r="V327" s="2">
        <v>45519.414965278003</v>
      </c>
      <c r="W327" t="s">
        <v>40</v>
      </c>
      <c r="X327">
        <v>0</v>
      </c>
      <c r="Y327" t="s">
        <v>40</v>
      </c>
      <c r="Z327" t="s">
        <v>40</v>
      </c>
      <c r="AA327" t="s">
        <v>40</v>
      </c>
      <c r="AB327">
        <v>0</v>
      </c>
      <c r="AC327" t="s">
        <v>49</v>
      </c>
      <c r="AD327" t="s">
        <v>40</v>
      </c>
      <c r="AE327" t="s">
        <v>40</v>
      </c>
      <c r="AF327" t="s">
        <v>40</v>
      </c>
      <c r="AG327" t="s">
        <v>40</v>
      </c>
      <c r="AH327" t="s">
        <v>40</v>
      </c>
      <c r="AI327" t="s">
        <v>40</v>
      </c>
      <c r="AJ327" t="s">
        <v>46</v>
      </c>
      <c r="AK327" t="s">
        <v>419</v>
      </c>
      <c r="AL327" t="s">
        <v>420</v>
      </c>
      <c r="AM327" t="s">
        <v>421</v>
      </c>
    </row>
    <row r="328" spans="1:39" x14ac:dyDescent="0.2">
      <c r="A328" s="4" t="s">
        <v>1194</v>
      </c>
      <c r="B328" s="4" t="s">
        <v>1657</v>
      </c>
      <c r="C328" s="4" t="s">
        <v>1779</v>
      </c>
      <c r="D328" s="4" t="s">
        <v>51</v>
      </c>
      <c r="E328" s="4" t="s">
        <v>51</v>
      </c>
      <c r="F328" t="s">
        <v>40</v>
      </c>
      <c r="G328" t="s">
        <v>1195</v>
      </c>
      <c r="H328" t="s">
        <v>1196</v>
      </c>
      <c r="I328" t="s">
        <v>40</v>
      </c>
      <c r="J328" t="s">
        <v>40</v>
      </c>
      <c r="K328" t="s">
        <v>40</v>
      </c>
      <c r="L328" t="s">
        <v>40</v>
      </c>
      <c r="M328">
        <v>0</v>
      </c>
      <c r="N328">
        <v>0</v>
      </c>
      <c r="O328">
        <v>1</v>
      </c>
      <c r="P328">
        <v>0</v>
      </c>
      <c r="Q328" t="s">
        <v>77</v>
      </c>
      <c r="R328" t="b">
        <v>0</v>
      </c>
      <c r="S328" t="s">
        <v>40</v>
      </c>
      <c r="T328" s="1" t="s">
        <v>49</v>
      </c>
      <c r="U328" t="s">
        <v>1173</v>
      </c>
      <c r="V328" s="2">
        <v>45519.44319443265</v>
      </c>
      <c r="W328" t="s">
        <v>40</v>
      </c>
      <c r="X328">
        <v>0</v>
      </c>
      <c r="Y328" t="s">
        <v>40</v>
      </c>
      <c r="Z328" t="s">
        <v>40</v>
      </c>
      <c r="AA328" t="s">
        <v>40</v>
      </c>
      <c r="AB328">
        <v>0</v>
      </c>
      <c r="AC328" t="s">
        <v>49</v>
      </c>
      <c r="AD328" t="s">
        <v>40</v>
      </c>
      <c r="AE328" t="s">
        <v>40</v>
      </c>
      <c r="AF328" t="s">
        <v>40</v>
      </c>
      <c r="AG328" t="s">
        <v>40</v>
      </c>
      <c r="AH328" t="s">
        <v>40</v>
      </c>
      <c r="AI328" t="s">
        <v>40</v>
      </c>
      <c r="AJ328" t="s">
        <v>46</v>
      </c>
      <c r="AK328" t="s">
        <v>419</v>
      </c>
      <c r="AL328" t="s">
        <v>420</v>
      </c>
      <c r="AM328" t="s">
        <v>421</v>
      </c>
    </row>
    <row r="329" spans="1:39" x14ac:dyDescent="0.2">
      <c r="A329" s="4" t="s">
        <v>1197</v>
      </c>
      <c r="B329" s="4" t="s">
        <v>1658</v>
      </c>
      <c r="C329" s="4" t="s">
        <v>40</v>
      </c>
      <c r="D329" s="4" t="s">
        <v>51</v>
      </c>
      <c r="E329" s="4" t="s">
        <v>51</v>
      </c>
      <c r="F329" t="s">
        <v>40</v>
      </c>
      <c r="G329" t="s">
        <v>1198</v>
      </c>
      <c r="H329" t="s">
        <v>1199</v>
      </c>
      <c r="I329" t="s">
        <v>40</v>
      </c>
      <c r="J329" t="s">
        <v>40</v>
      </c>
      <c r="K329" t="s">
        <v>40</v>
      </c>
      <c r="L329" t="s">
        <v>40</v>
      </c>
      <c r="M329">
        <v>0</v>
      </c>
      <c r="N329">
        <v>0</v>
      </c>
      <c r="O329">
        <v>1</v>
      </c>
      <c r="P329">
        <v>0</v>
      </c>
      <c r="Q329" t="s">
        <v>77</v>
      </c>
      <c r="R329" t="b">
        <v>0</v>
      </c>
      <c r="S329" t="s">
        <v>40</v>
      </c>
      <c r="T329" s="1" t="s">
        <v>49</v>
      </c>
      <c r="U329" t="s">
        <v>1173</v>
      </c>
      <c r="V329">
        <v>45519.583032395691</v>
      </c>
      <c r="W329" t="s">
        <v>40</v>
      </c>
      <c r="X329">
        <v>0</v>
      </c>
      <c r="Y329" t="s">
        <v>40</v>
      </c>
      <c r="Z329" t="s">
        <v>40</v>
      </c>
      <c r="AA329" t="s">
        <v>40</v>
      </c>
      <c r="AB329">
        <v>0</v>
      </c>
      <c r="AC329" t="s">
        <v>49</v>
      </c>
      <c r="AD329" t="s">
        <v>40</v>
      </c>
      <c r="AE329" t="s">
        <v>40</v>
      </c>
      <c r="AF329" t="s">
        <v>40</v>
      </c>
      <c r="AG329" t="s">
        <v>40</v>
      </c>
      <c r="AH329" t="s">
        <v>40</v>
      </c>
      <c r="AI329" t="s">
        <v>40</v>
      </c>
      <c r="AJ329" t="s">
        <v>46</v>
      </c>
      <c r="AK329" t="s">
        <v>419</v>
      </c>
      <c r="AL329" t="s">
        <v>420</v>
      </c>
      <c r="AM329" t="s">
        <v>421</v>
      </c>
    </row>
    <row r="330" spans="1:39" x14ac:dyDescent="0.2">
      <c r="A330" s="4" t="s">
        <v>1200</v>
      </c>
      <c r="B330" s="4" t="s">
        <v>1201</v>
      </c>
      <c r="C330" s="4" t="s">
        <v>40</v>
      </c>
      <c r="D330" s="4" t="s">
        <v>51</v>
      </c>
      <c r="E330" s="4" t="s">
        <v>51</v>
      </c>
      <c r="F330" t="s">
        <v>40</v>
      </c>
      <c r="G330" t="s">
        <v>1202</v>
      </c>
      <c r="H330" t="s">
        <v>1203</v>
      </c>
      <c r="I330" t="s">
        <v>40</v>
      </c>
      <c r="J330" t="s">
        <v>40</v>
      </c>
      <c r="K330" t="s">
        <v>40</v>
      </c>
      <c r="L330" t="s">
        <v>40</v>
      </c>
      <c r="M330">
        <v>0</v>
      </c>
      <c r="N330">
        <v>0</v>
      </c>
      <c r="O330">
        <v>1</v>
      </c>
      <c r="P330">
        <v>300</v>
      </c>
      <c r="Q330" t="s">
        <v>77</v>
      </c>
      <c r="R330" t="b">
        <v>0</v>
      </c>
      <c r="S330" t="s">
        <v>40</v>
      </c>
      <c r="T330" s="1" t="s">
        <v>49</v>
      </c>
      <c r="U330" t="s">
        <v>1173</v>
      </c>
      <c r="V330" s="2">
        <v>45519.611863425933</v>
      </c>
      <c r="W330" t="s">
        <v>40</v>
      </c>
      <c r="X330">
        <v>0</v>
      </c>
      <c r="Y330" t="s">
        <v>40</v>
      </c>
      <c r="Z330" t="s">
        <v>40</v>
      </c>
      <c r="AA330" t="s">
        <v>40</v>
      </c>
      <c r="AB330">
        <v>0</v>
      </c>
      <c r="AC330" t="s">
        <v>49</v>
      </c>
      <c r="AD330" t="s">
        <v>40</v>
      </c>
      <c r="AE330" t="s">
        <v>40</v>
      </c>
      <c r="AF330" t="s">
        <v>40</v>
      </c>
      <c r="AG330" t="s">
        <v>40</v>
      </c>
      <c r="AH330" t="s">
        <v>40</v>
      </c>
      <c r="AI330" t="s">
        <v>40</v>
      </c>
      <c r="AJ330" t="s">
        <v>46</v>
      </c>
      <c r="AK330" t="s">
        <v>419</v>
      </c>
      <c r="AL330" t="s">
        <v>420</v>
      </c>
      <c r="AM330" t="s">
        <v>421</v>
      </c>
    </row>
    <row r="331" spans="1:39" x14ac:dyDescent="0.2">
      <c r="A331" s="4" t="s">
        <v>1204</v>
      </c>
      <c r="B331" s="4" t="s">
        <v>1659</v>
      </c>
      <c r="C331" s="4" t="s">
        <v>1780</v>
      </c>
      <c r="D331" s="4" t="s">
        <v>40</v>
      </c>
      <c r="E331" s="4" t="s">
        <v>40</v>
      </c>
      <c r="F331" t="s">
        <v>40</v>
      </c>
      <c r="G331" t="s">
        <v>1206</v>
      </c>
      <c r="H331" t="s">
        <v>1207</v>
      </c>
      <c r="I331" t="s">
        <v>40</v>
      </c>
      <c r="J331" t="s">
        <v>40</v>
      </c>
      <c r="K331" t="s">
        <v>40</v>
      </c>
      <c r="L331" t="s">
        <v>40</v>
      </c>
      <c r="M331">
        <v>0</v>
      </c>
      <c r="N331">
        <v>0</v>
      </c>
      <c r="O331">
        <v>1</v>
      </c>
      <c r="P331">
        <v>0</v>
      </c>
      <c r="Q331" t="s">
        <v>77</v>
      </c>
      <c r="R331" t="b">
        <v>0</v>
      </c>
      <c r="S331" t="s">
        <v>40</v>
      </c>
      <c r="T331" t="s">
        <v>49</v>
      </c>
      <c r="U331" t="s">
        <v>1163</v>
      </c>
      <c r="V331" s="2">
        <v>45519.642002303153</v>
      </c>
      <c r="W331" t="s">
        <v>40</v>
      </c>
      <c r="X331">
        <v>0</v>
      </c>
      <c r="Y331" t="s">
        <v>40</v>
      </c>
      <c r="Z331" t="s">
        <v>40</v>
      </c>
      <c r="AA331" t="s">
        <v>40</v>
      </c>
      <c r="AB331">
        <v>0</v>
      </c>
      <c r="AC331" t="s">
        <v>49</v>
      </c>
      <c r="AD331" t="s">
        <v>40</v>
      </c>
      <c r="AE331" t="s">
        <v>40</v>
      </c>
      <c r="AF331" t="s">
        <v>1205</v>
      </c>
      <c r="AG331" t="s">
        <v>40</v>
      </c>
      <c r="AH331" t="s">
        <v>40</v>
      </c>
      <c r="AI331" t="s">
        <v>40</v>
      </c>
      <c r="AJ331" t="s">
        <v>40</v>
      </c>
      <c r="AK331" t="s">
        <v>40</v>
      </c>
      <c r="AL331" t="s">
        <v>40</v>
      </c>
      <c r="AM331" t="s">
        <v>40</v>
      </c>
    </row>
    <row r="332" spans="1:39" x14ac:dyDescent="0.2">
      <c r="A332" s="4" t="s">
        <v>1208</v>
      </c>
      <c r="B332" s="4" t="s">
        <v>1660</v>
      </c>
      <c r="C332" s="4" t="s">
        <v>1781</v>
      </c>
      <c r="D332" s="4" t="s">
        <v>40</v>
      </c>
      <c r="E332" s="4" t="s">
        <v>40</v>
      </c>
      <c r="F332" t="s">
        <v>40</v>
      </c>
      <c r="G332" t="s">
        <v>1210</v>
      </c>
      <c r="H332" t="s">
        <v>1211</v>
      </c>
      <c r="I332" t="s">
        <v>40</v>
      </c>
      <c r="J332" t="s">
        <v>40</v>
      </c>
      <c r="K332" t="s">
        <v>40</v>
      </c>
      <c r="L332" t="s">
        <v>40</v>
      </c>
      <c r="M332">
        <v>0</v>
      </c>
      <c r="N332">
        <v>0</v>
      </c>
      <c r="O332">
        <v>1</v>
      </c>
      <c r="P332">
        <v>0</v>
      </c>
      <c r="Q332" t="s">
        <v>77</v>
      </c>
      <c r="R332" t="b">
        <v>0</v>
      </c>
      <c r="S332" t="s">
        <v>40</v>
      </c>
      <c r="T332" s="1" t="s">
        <v>49</v>
      </c>
      <c r="U332" t="s">
        <v>1163</v>
      </c>
      <c r="V332" s="2">
        <v>45519.649085648358</v>
      </c>
      <c r="W332" t="s">
        <v>40</v>
      </c>
      <c r="X332">
        <v>0</v>
      </c>
      <c r="Y332" t="s">
        <v>40</v>
      </c>
      <c r="Z332" t="s">
        <v>40</v>
      </c>
      <c r="AA332" t="s">
        <v>40</v>
      </c>
      <c r="AB332">
        <v>0</v>
      </c>
      <c r="AC332" t="s">
        <v>49</v>
      </c>
      <c r="AD332" t="s">
        <v>40</v>
      </c>
      <c r="AE332" t="s">
        <v>40</v>
      </c>
      <c r="AF332" t="s">
        <v>1209</v>
      </c>
      <c r="AG332" t="s">
        <v>40</v>
      </c>
      <c r="AH332" t="s">
        <v>40</v>
      </c>
      <c r="AI332" t="s">
        <v>40</v>
      </c>
      <c r="AJ332" t="s">
        <v>40</v>
      </c>
      <c r="AK332" t="s">
        <v>40</v>
      </c>
      <c r="AL332" t="s">
        <v>40</v>
      </c>
      <c r="AM332" t="s">
        <v>40</v>
      </c>
    </row>
    <row r="333" spans="1:39" x14ac:dyDescent="0.2">
      <c r="A333" s="4" t="s">
        <v>1212</v>
      </c>
      <c r="B333" s="4" t="s">
        <v>1213</v>
      </c>
      <c r="C333" s="4" t="s">
        <v>40</v>
      </c>
      <c r="D333" s="4" t="s">
        <v>51</v>
      </c>
      <c r="E333" s="4" t="s">
        <v>51</v>
      </c>
      <c r="F333" t="s">
        <v>40</v>
      </c>
      <c r="G333" t="s">
        <v>1214</v>
      </c>
      <c r="H333" t="s">
        <v>1215</v>
      </c>
      <c r="I333" t="s">
        <v>40</v>
      </c>
      <c r="J333" t="s">
        <v>40</v>
      </c>
      <c r="K333" t="s">
        <v>40</v>
      </c>
      <c r="L333" t="s">
        <v>40</v>
      </c>
      <c r="M333">
        <v>0</v>
      </c>
      <c r="N333">
        <v>0</v>
      </c>
      <c r="O333">
        <v>1</v>
      </c>
      <c r="P333">
        <v>0</v>
      </c>
      <c r="Q333" t="s">
        <v>77</v>
      </c>
      <c r="R333" t="b">
        <v>0</v>
      </c>
      <c r="S333" t="s">
        <v>40</v>
      </c>
      <c r="T333" t="s">
        <v>49</v>
      </c>
      <c r="U333" t="s">
        <v>1173</v>
      </c>
      <c r="V333" s="2">
        <v>45519.648275451269</v>
      </c>
      <c r="W333" t="s">
        <v>40</v>
      </c>
      <c r="X333">
        <v>0</v>
      </c>
      <c r="Y333" t="s">
        <v>40</v>
      </c>
      <c r="Z333" t="s">
        <v>40</v>
      </c>
      <c r="AA333" t="s">
        <v>40</v>
      </c>
      <c r="AB333">
        <v>2</v>
      </c>
      <c r="AC333" t="s">
        <v>49</v>
      </c>
      <c r="AD333" t="s">
        <v>40</v>
      </c>
      <c r="AE333" t="s">
        <v>40</v>
      </c>
      <c r="AF333" t="s">
        <v>40</v>
      </c>
      <c r="AG333" t="s">
        <v>40</v>
      </c>
      <c r="AH333" t="s">
        <v>40</v>
      </c>
      <c r="AI333" t="s">
        <v>40</v>
      </c>
      <c r="AJ333" t="s">
        <v>46</v>
      </c>
      <c r="AK333" t="s">
        <v>419</v>
      </c>
      <c r="AL333" t="s">
        <v>420</v>
      </c>
      <c r="AM333" t="s">
        <v>421</v>
      </c>
    </row>
    <row r="334" spans="1:39" x14ac:dyDescent="0.2">
      <c r="A334" s="4" t="s">
        <v>1216</v>
      </c>
      <c r="B334" s="4" t="s">
        <v>1661</v>
      </c>
      <c r="C334" s="4" t="s">
        <v>40</v>
      </c>
      <c r="D334" s="4" t="s">
        <v>51</v>
      </c>
      <c r="E334" s="4" t="s">
        <v>51</v>
      </c>
      <c r="F334" t="s">
        <v>40</v>
      </c>
      <c r="G334" t="s">
        <v>1217</v>
      </c>
      <c r="H334" t="s">
        <v>1218</v>
      </c>
      <c r="I334" t="s">
        <v>40</v>
      </c>
      <c r="J334" t="s">
        <v>40</v>
      </c>
      <c r="K334" t="s">
        <v>40</v>
      </c>
      <c r="L334" t="s">
        <v>40</v>
      </c>
      <c r="M334">
        <v>0</v>
      </c>
      <c r="N334">
        <v>0</v>
      </c>
      <c r="O334">
        <v>1</v>
      </c>
      <c r="P334">
        <v>0</v>
      </c>
      <c r="Q334" t="s">
        <v>77</v>
      </c>
      <c r="R334" t="b">
        <v>0</v>
      </c>
      <c r="S334" t="s">
        <v>40</v>
      </c>
      <c r="T334" s="1" t="s">
        <v>49</v>
      </c>
      <c r="U334" t="s">
        <v>1173</v>
      </c>
      <c r="V334" s="2">
        <v>45519.65612268541</v>
      </c>
      <c r="W334" t="s">
        <v>40</v>
      </c>
      <c r="X334">
        <v>0</v>
      </c>
      <c r="Y334" t="s">
        <v>40</v>
      </c>
      <c r="Z334" t="s">
        <v>40</v>
      </c>
      <c r="AA334" t="s">
        <v>40</v>
      </c>
      <c r="AB334">
        <v>2</v>
      </c>
      <c r="AC334" t="s">
        <v>49</v>
      </c>
      <c r="AD334" t="s">
        <v>40</v>
      </c>
      <c r="AE334" t="s">
        <v>40</v>
      </c>
      <c r="AF334" t="s">
        <v>40</v>
      </c>
      <c r="AG334" t="s">
        <v>40</v>
      </c>
      <c r="AH334" t="s">
        <v>40</v>
      </c>
      <c r="AI334" t="s">
        <v>40</v>
      </c>
      <c r="AJ334" t="s">
        <v>46</v>
      </c>
      <c r="AK334" t="s">
        <v>419</v>
      </c>
      <c r="AL334" t="s">
        <v>420</v>
      </c>
      <c r="AM334" t="s">
        <v>421</v>
      </c>
    </row>
    <row r="335" spans="1:39" x14ac:dyDescent="0.2">
      <c r="A335" s="4" t="s">
        <v>1219</v>
      </c>
      <c r="B335" s="4" t="s">
        <v>1220</v>
      </c>
      <c r="C335" s="4" t="s">
        <v>40</v>
      </c>
      <c r="D335" s="4" t="s">
        <v>40</v>
      </c>
      <c r="E335" s="4" t="s">
        <v>40</v>
      </c>
      <c r="F335" t="s">
        <v>40</v>
      </c>
      <c r="G335" t="s">
        <v>1219</v>
      </c>
      <c r="H335" t="s">
        <v>40</v>
      </c>
      <c r="I335" t="s">
        <v>40</v>
      </c>
      <c r="J335" t="s">
        <v>40</v>
      </c>
      <c r="K335" t="s">
        <v>40</v>
      </c>
      <c r="L335" t="s">
        <v>40</v>
      </c>
      <c r="M335">
        <v>0</v>
      </c>
      <c r="N335">
        <v>0</v>
      </c>
      <c r="O335">
        <v>1</v>
      </c>
      <c r="P335">
        <v>0</v>
      </c>
      <c r="Q335" t="s">
        <v>77</v>
      </c>
      <c r="R335" t="b">
        <v>0</v>
      </c>
      <c r="S335" t="s">
        <v>40</v>
      </c>
      <c r="T335" t="s">
        <v>49</v>
      </c>
      <c r="U335" t="s">
        <v>1163</v>
      </c>
      <c r="V335" s="2">
        <v>45520.417800926138</v>
      </c>
      <c r="W335" t="s">
        <v>40</v>
      </c>
      <c r="X335">
        <v>0</v>
      </c>
      <c r="Y335" t="s">
        <v>40</v>
      </c>
      <c r="Z335" t="s">
        <v>40</v>
      </c>
      <c r="AA335" t="s">
        <v>40</v>
      </c>
      <c r="AB335">
        <v>0</v>
      </c>
      <c r="AC335" t="s">
        <v>49</v>
      </c>
      <c r="AD335" t="s">
        <v>40</v>
      </c>
      <c r="AE335" t="s">
        <v>40</v>
      </c>
      <c r="AF335" t="s">
        <v>40</v>
      </c>
      <c r="AG335" t="s">
        <v>40</v>
      </c>
      <c r="AH335" t="s">
        <v>40</v>
      </c>
      <c r="AI335" t="s">
        <v>40</v>
      </c>
      <c r="AJ335" t="s">
        <v>40</v>
      </c>
      <c r="AK335" t="s">
        <v>40</v>
      </c>
      <c r="AL335" t="s">
        <v>40</v>
      </c>
      <c r="AM335" t="s">
        <v>40</v>
      </c>
    </row>
    <row r="336" spans="1:39" x14ac:dyDescent="0.2">
      <c r="A336" s="4" t="s">
        <v>1221</v>
      </c>
      <c r="B336" s="4" t="s">
        <v>1222</v>
      </c>
      <c r="C336" s="4" t="s">
        <v>40</v>
      </c>
      <c r="D336" s="4" t="s">
        <v>40</v>
      </c>
      <c r="E336" s="4" t="s">
        <v>40</v>
      </c>
      <c r="F336" t="s">
        <v>40</v>
      </c>
      <c r="G336" t="s">
        <v>1221</v>
      </c>
      <c r="H336" t="s">
        <v>40</v>
      </c>
      <c r="I336" t="s">
        <v>40</v>
      </c>
      <c r="J336" t="s">
        <v>40</v>
      </c>
      <c r="K336" t="s">
        <v>40</v>
      </c>
      <c r="L336" t="s">
        <v>40</v>
      </c>
      <c r="M336">
        <v>0</v>
      </c>
      <c r="N336">
        <v>0</v>
      </c>
      <c r="O336">
        <v>1</v>
      </c>
      <c r="P336">
        <v>0</v>
      </c>
      <c r="Q336" t="s">
        <v>77</v>
      </c>
      <c r="R336" t="b">
        <v>0</v>
      </c>
      <c r="S336" t="s">
        <v>40</v>
      </c>
      <c r="T336" s="1" t="s">
        <v>49</v>
      </c>
      <c r="U336" t="s">
        <v>1163</v>
      </c>
      <c r="V336" s="2">
        <v>45520.420879618265</v>
      </c>
      <c r="W336" t="s">
        <v>40</v>
      </c>
      <c r="X336">
        <v>0</v>
      </c>
      <c r="Y336" t="s">
        <v>40</v>
      </c>
      <c r="Z336" t="s">
        <v>40</v>
      </c>
      <c r="AA336" t="s">
        <v>40</v>
      </c>
      <c r="AB336">
        <v>0</v>
      </c>
      <c r="AC336" t="s">
        <v>49</v>
      </c>
      <c r="AD336" t="s">
        <v>40</v>
      </c>
      <c r="AE336" t="s">
        <v>40</v>
      </c>
      <c r="AF336" t="s">
        <v>40</v>
      </c>
      <c r="AG336" t="s">
        <v>40</v>
      </c>
      <c r="AH336" t="s">
        <v>40</v>
      </c>
      <c r="AI336" t="s">
        <v>40</v>
      </c>
      <c r="AJ336" t="s">
        <v>40</v>
      </c>
      <c r="AK336" t="s">
        <v>40</v>
      </c>
      <c r="AL336" t="s">
        <v>40</v>
      </c>
      <c r="AM336" t="s">
        <v>40</v>
      </c>
    </row>
    <row r="337" spans="1:39" x14ac:dyDescent="0.2">
      <c r="A337" s="4" t="s">
        <v>1223</v>
      </c>
      <c r="B337" s="4" t="s">
        <v>1224</v>
      </c>
      <c r="C337" s="4" t="s">
        <v>40</v>
      </c>
      <c r="D337" s="4" t="s">
        <v>40</v>
      </c>
      <c r="E337" s="4" t="s">
        <v>40</v>
      </c>
      <c r="F337" t="s">
        <v>40</v>
      </c>
      <c r="G337" t="s">
        <v>1223</v>
      </c>
      <c r="H337" t="s">
        <v>40</v>
      </c>
      <c r="I337" t="s">
        <v>40</v>
      </c>
      <c r="J337" t="s">
        <v>40</v>
      </c>
      <c r="K337" t="s">
        <v>40</v>
      </c>
      <c r="L337" t="s">
        <v>40</v>
      </c>
      <c r="M337">
        <v>54.550000000000004</v>
      </c>
      <c r="N337">
        <v>0</v>
      </c>
      <c r="O337">
        <v>1</v>
      </c>
      <c r="P337">
        <v>0</v>
      </c>
      <c r="Q337" t="s">
        <v>77</v>
      </c>
      <c r="R337" t="b">
        <v>0</v>
      </c>
      <c r="S337" t="s">
        <v>40</v>
      </c>
      <c r="T337" s="1">
        <v>45379</v>
      </c>
      <c r="U337" t="s">
        <v>1163</v>
      </c>
      <c r="V337" s="2">
        <v>45520.420972210821</v>
      </c>
      <c r="W337" t="s">
        <v>40</v>
      </c>
      <c r="X337">
        <v>0</v>
      </c>
      <c r="Y337" t="s">
        <v>40</v>
      </c>
      <c r="Z337" t="s">
        <v>40</v>
      </c>
      <c r="AA337" t="s">
        <v>40</v>
      </c>
      <c r="AB337">
        <v>0</v>
      </c>
      <c r="AC337" t="s">
        <v>49</v>
      </c>
      <c r="AD337" t="s">
        <v>40</v>
      </c>
      <c r="AE337" t="s">
        <v>40</v>
      </c>
      <c r="AF337" t="s">
        <v>40</v>
      </c>
      <c r="AG337" t="s">
        <v>40</v>
      </c>
      <c r="AH337" t="s">
        <v>40</v>
      </c>
      <c r="AI337" t="s">
        <v>40</v>
      </c>
      <c r="AJ337" t="s">
        <v>40</v>
      </c>
      <c r="AK337" t="s">
        <v>40</v>
      </c>
      <c r="AL337" t="s">
        <v>40</v>
      </c>
      <c r="AM337" t="s">
        <v>40</v>
      </c>
    </row>
    <row r="338" spans="1:39" x14ac:dyDescent="0.2">
      <c r="A338" s="4" t="s">
        <v>1225</v>
      </c>
      <c r="B338" s="4" t="s">
        <v>1226</v>
      </c>
      <c r="C338" s="4" t="s">
        <v>40</v>
      </c>
      <c r="D338" s="4" t="s">
        <v>40</v>
      </c>
      <c r="E338" s="4" t="s">
        <v>40</v>
      </c>
      <c r="F338" t="s">
        <v>40</v>
      </c>
      <c r="G338" t="s">
        <v>1225</v>
      </c>
      <c r="H338" t="s">
        <v>40</v>
      </c>
      <c r="I338" t="s">
        <v>40</v>
      </c>
      <c r="J338" t="s">
        <v>40</v>
      </c>
      <c r="K338" t="s">
        <v>40</v>
      </c>
      <c r="L338" t="s">
        <v>40</v>
      </c>
      <c r="M338">
        <v>0</v>
      </c>
      <c r="N338">
        <v>0</v>
      </c>
      <c r="O338">
        <v>1</v>
      </c>
      <c r="P338">
        <v>0</v>
      </c>
      <c r="Q338" t="s">
        <v>77</v>
      </c>
      <c r="R338" t="b">
        <v>0</v>
      </c>
      <c r="S338" t="s">
        <v>40</v>
      </c>
      <c r="T338" t="s">
        <v>49</v>
      </c>
      <c r="U338" t="s">
        <v>1163</v>
      </c>
      <c r="V338" s="2">
        <v>45520.42113424791</v>
      </c>
      <c r="W338" t="s">
        <v>40</v>
      </c>
      <c r="X338">
        <v>0</v>
      </c>
      <c r="Y338" t="s">
        <v>40</v>
      </c>
      <c r="Z338" t="s">
        <v>40</v>
      </c>
      <c r="AA338" t="s">
        <v>40</v>
      </c>
      <c r="AB338">
        <v>0</v>
      </c>
      <c r="AC338" t="s">
        <v>49</v>
      </c>
      <c r="AD338" t="s">
        <v>40</v>
      </c>
      <c r="AE338" t="s">
        <v>40</v>
      </c>
      <c r="AF338" t="s">
        <v>40</v>
      </c>
      <c r="AG338" t="s">
        <v>40</v>
      </c>
      <c r="AH338" t="s">
        <v>40</v>
      </c>
      <c r="AI338" t="s">
        <v>40</v>
      </c>
      <c r="AJ338" t="s">
        <v>40</v>
      </c>
      <c r="AK338" t="s">
        <v>40</v>
      </c>
      <c r="AL338" t="s">
        <v>40</v>
      </c>
      <c r="AM338" t="s">
        <v>40</v>
      </c>
    </row>
    <row r="339" spans="1:39" x14ac:dyDescent="0.2">
      <c r="A339" s="4" t="s">
        <v>1227</v>
      </c>
      <c r="B339" s="4" t="s">
        <v>1662</v>
      </c>
      <c r="C339" s="4" t="s">
        <v>225</v>
      </c>
      <c r="D339" s="4" t="s">
        <v>40</v>
      </c>
      <c r="E339" s="4" t="s">
        <v>40</v>
      </c>
      <c r="F339" t="s">
        <v>40</v>
      </c>
      <c r="G339" t="s">
        <v>1229</v>
      </c>
      <c r="H339" t="s">
        <v>1230</v>
      </c>
      <c r="I339" t="s">
        <v>40</v>
      </c>
      <c r="J339" t="s">
        <v>40</v>
      </c>
      <c r="K339" t="s">
        <v>40</v>
      </c>
      <c r="L339" t="s">
        <v>40</v>
      </c>
      <c r="M339">
        <v>0</v>
      </c>
      <c r="N339">
        <v>0</v>
      </c>
      <c r="O339">
        <v>1</v>
      </c>
      <c r="P339">
        <v>0</v>
      </c>
      <c r="Q339" t="s">
        <v>77</v>
      </c>
      <c r="R339" t="b">
        <v>0</v>
      </c>
      <c r="S339" t="s">
        <v>40</v>
      </c>
      <c r="T339" s="1" t="s">
        <v>49</v>
      </c>
      <c r="U339" t="s">
        <v>1163</v>
      </c>
      <c r="V339" s="2">
        <v>45520.482430543751</v>
      </c>
      <c r="W339" t="s">
        <v>40</v>
      </c>
      <c r="X339">
        <v>0</v>
      </c>
      <c r="Y339" t="s">
        <v>40</v>
      </c>
      <c r="Z339" t="s">
        <v>40</v>
      </c>
      <c r="AA339" t="s">
        <v>40</v>
      </c>
      <c r="AB339">
        <v>0</v>
      </c>
      <c r="AC339" t="s">
        <v>49</v>
      </c>
      <c r="AD339" t="s">
        <v>40</v>
      </c>
      <c r="AE339" t="s">
        <v>40</v>
      </c>
      <c r="AF339" t="s">
        <v>1228</v>
      </c>
      <c r="AG339" t="s">
        <v>40</v>
      </c>
      <c r="AH339" t="s">
        <v>40</v>
      </c>
      <c r="AI339" t="s">
        <v>40</v>
      </c>
      <c r="AJ339" t="s">
        <v>40</v>
      </c>
      <c r="AK339" t="s">
        <v>40</v>
      </c>
      <c r="AL339" t="s">
        <v>40</v>
      </c>
      <c r="AM339" t="s">
        <v>40</v>
      </c>
    </row>
    <row r="340" spans="1:39" x14ac:dyDescent="0.2">
      <c r="A340" s="4" t="s">
        <v>1231</v>
      </c>
      <c r="B340" s="4" t="s">
        <v>1232</v>
      </c>
      <c r="C340" s="4" t="s">
        <v>40</v>
      </c>
      <c r="D340" s="4" t="s">
        <v>40</v>
      </c>
      <c r="E340" s="4" t="s">
        <v>40</v>
      </c>
      <c r="F340" t="s">
        <v>40</v>
      </c>
      <c r="G340" t="s">
        <v>1231</v>
      </c>
      <c r="H340" t="s">
        <v>40</v>
      </c>
      <c r="I340" t="s">
        <v>40</v>
      </c>
      <c r="J340" t="s">
        <v>40</v>
      </c>
      <c r="K340" t="s">
        <v>40</v>
      </c>
      <c r="L340" t="s">
        <v>40</v>
      </c>
      <c r="M340">
        <v>0</v>
      </c>
      <c r="N340">
        <v>0</v>
      </c>
      <c r="O340">
        <v>1</v>
      </c>
      <c r="P340">
        <v>0</v>
      </c>
      <c r="Q340" t="s">
        <v>77</v>
      </c>
      <c r="R340" t="b">
        <v>0</v>
      </c>
      <c r="S340" t="s">
        <v>40</v>
      </c>
      <c r="T340" s="1" t="s">
        <v>49</v>
      </c>
      <c r="U340" t="s">
        <v>1163</v>
      </c>
      <c r="V340" s="2">
        <v>45520.517916666809</v>
      </c>
      <c r="W340" t="s">
        <v>40</v>
      </c>
      <c r="X340">
        <v>0</v>
      </c>
      <c r="Y340" t="s">
        <v>40</v>
      </c>
      <c r="Z340" t="s">
        <v>40</v>
      </c>
      <c r="AA340" t="s">
        <v>40</v>
      </c>
      <c r="AB340">
        <v>0</v>
      </c>
      <c r="AC340" t="s">
        <v>49</v>
      </c>
      <c r="AD340" t="s">
        <v>40</v>
      </c>
      <c r="AE340" t="s">
        <v>40</v>
      </c>
      <c r="AF340" t="s">
        <v>40</v>
      </c>
      <c r="AG340" t="s">
        <v>40</v>
      </c>
      <c r="AH340" t="s">
        <v>40</v>
      </c>
      <c r="AI340" t="s">
        <v>40</v>
      </c>
      <c r="AJ340" t="s">
        <v>40</v>
      </c>
      <c r="AK340" t="s">
        <v>40</v>
      </c>
      <c r="AL340" t="s">
        <v>40</v>
      </c>
      <c r="AM340" t="s">
        <v>40</v>
      </c>
    </row>
    <row r="341" spans="1:39" x14ac:dyDescent="0.2">
      <c r="A341" s="4" t="s">
        <v>1233</v>
      </c>
      <c r="B341" s="4" t="s">
        <v>1663</v>
      </c>
      <c r="C341" s="4" t="s">
        <v>40</v>
      </c>
      <c r="D341" s="4" t="s">
        <v>51</v>
      </c>
      <c r="E341" s="4" t="s">
        <v>51</v>
      </c>
      <c r="F341" t="s">
        <v>40</v>
      </c>
      <c r="G341" t="s">
        <v>1233</v>
      </c>
      <c r="H341" t="s">
        <v>40</v>
      </c>
      <c r="I341" t="s">
        <v>40</v>
      </c>
      <c r="J341" t="s">
        <v>40</v>
      </c>
      <c r="K341" t="s">
        <v>40</v>
      </c>
      <c r="L341" t="s">
        <v>40</v>
      </c>
      <c r="M341">
        <v>0</v>
      </c>
      <c r="N341">
        <v>0</v>
      </c>
      <c r="O341">
        <v>1</v>
      </c>
      <c r="P341">
        <v>0</v>
      </c>
      <c r="Q341" t="s">
        <v>77</v>
      </c>
      <c r="R341" t="b">
        <v>0</v>
      </c>
      <c r="S341" t="s">
        <v>40</v>
      </c>
      <c r="T341" s="1" t="s">
        <v>49</v>
      </c>
      <c r="U341" t="s">
        <v>1173</v>
      </c>
      <c r="V341" s="2">
        <v>45520.632766192313</v>
      </c>
      <c r="W341" t="s">
        <v>40</v>
      </c>
      <c r="X341">
        <v>0</v>
      </c>
      <c r="Y341" t="s">
        <v>40</v>
      </c>
      <c r="Z341" t="s">
        <v>40</v>
      </c>
      <c r="AA341" t="s">
        <v>40</v>
      </c>
      <c r="AB341">
        <v>0</v>
      </c>
      <c r="AC341" t="s">
        <v>49</v>
      </c>
      <c r="AD341" t="s">
        <v>40</v>
      </c>
      <c r="AE341" t="s">
        <v>40</v>
      </c>
      <c r="AF341" t="s">
        <v>40</v>
      </c>
      <c r="AG341" t="s">
        <v>40</v>
      </c>
      <c r="AH341" t="s">
        <v>40</v>
      </c>
      <c r="AI341" t="s">
        <v>40</v>
      </c>
      <c r="AJ341" t="s">
        <v>46</v>
      </c>
      <c r="AK341" t="s">
        <v>419</v>
      </c>
      <c r="AL341" t="s">
        <v>420</v>
      </c>
      <c r="AM341" t="s">
        <v>421</v>
      </c>
    </row>
    <row r="342" spans="1:39" x14ac:dyDescent="0.2">
      <c r="A342" s="4" t="s">
        <v>1234</v>
      </c>
      <c r="B342" s="4" t="s">
        <v>1235</v>
      </c>
      <c r="C342" s="4" t="s">
        <v>1236</v>
      </c>
      <c r="D342" s="4" t="s">
        <v>1189</v>
      </c>
      <c r="E342" s="4" t="s">
        <v>336</v>
      </c>
      <c r="F342" t="s">
        <v>40</v>
      </c>
      <c r="G342" t="s">
        <v>1237</v>
      </c>
      <c r="H342" t="s">
        <v>40</v>
      </c>
      <c r="I342" t="s">
        <v>40</v>
      </c>
      <c r="J342" t="s">
        <v>40</v>
      </c>
      <c r="K342" t="s">
        <v>40</v>
      </c>
      <c r="L342" t="s">
        <v>40</v>
      </c>
      <c r="M342">
        <v>0</v>
      </c>
      <c r="N342">
        <v>0</v>
      </c>
      <c r="O342">
        <v>1</v>
      </c>
      <c r="P342">
        <v>0</v>
      </c>
      <c r="Q342" t="s">
        <v>77</v>
      </c>
      <c r="R342" t="b">
        <v>0</v>
      </c>
      <c r="S342" t="s">
        <v>40</v>
      </c>
      <c r="T342" t="s">
        <v>49</v>
      </c>
      <c r="U342" t="s">
        <v>1173</v>
      </c>
      <c r="V342" s="2">
        <v>45521.456759247463</v>
      </c>
      <c r="W342" t="s">
        <v>1238</v>
      </c>
      <c r="X342">
        <v>0</v>
      </c>
      <c r="Y342" t="s">
        <v>40</v>
      </c>
      <c r="Z342" t="s">
        <v>40</v>
      </c>
      <c r="AA342" t="s">
        <v>40</v>
      </c>
      <c r="AB342">
        <v>0</v>
      </c>
      <c r="AC342" t="s">
        <v>49</v>
      </c>
      <c r="AD342" t="s">
        <v>40</v>
      </c>
      <c r="AE342" t="s">
        <v>40</v>
      </c>
      <c r="AF342" t="s">
        <v>40</v>
      </c>
      <c r="AG342" t="s">
        <v>40</v>
      </c>
      <c r="AH342" t="s">
        <v>40</v>
      </c>
      <c r="AI342" t="s">
        <v>40</v>
      </c>
      <c r="AJ342" t="s">
        <v>1185</v>
      </c>
      <c r="AK342" t="s">
        <v>1190</v>
      </c>
      <c r="AL342" t="s">
        <v>420</v>
      </c>
      <c r="AM342" t="s">
        <v>421</v>
      </c>
    </row>
    <row r="343" spans="1:39" x14ac:dyDescent="0.2">
      <c r="A343" s="4" t="s">
        <v>1239</v>
      </c>
      <c r="B343" s="4" t="s">
        <v>1664</v>
      </c>
      <c r="C343" s="4" t="s">
        <v>1782</v>
      </c>
      <c r="D343" s="4" t="s">
        <v>40</v>
      </c>
      <c r="E343" s="4" t="s">
        <v>40</v>
      </c>
      <c r="F343" t="s">
        <v>40</v>
      </c>
      <c r="G343" t="s">
        <v>1241</v>
      </c>
      <c r="H343" t="s">
        <v>1242</v>
      </c>
      <c r="I343" t="s">
        <v>40</v>
      </c>
      <c r="J343" t="s">
        <v>40</v>
      </c>
      <c r="K343" t="s">
        <v>40</v>
      </c>
      <c r="L343" t="s">
        <v>40</v>
      </c>
      <c r="M343">
        <v>10483.33</v>
      </c>
      <c r="N343">
        <v>0</v>
      </c>
      <c r="O343">
        <v>1</v>
      </c>
      <c r="P343">
        <v>0</v>
      </c>
      <c r="Q343" t="s">
        <v>77</v>
      </c>
      <c r="R343" t="b">
        <v>0</v>
      </c>
      <c r="S343" t="s">
        <v>40</v>
      </c>
      <c r="T343" t="s">
        <v>49</v>
      </c>
      <c r="U343" t="s">
        <v>1163</v>
      </c>
      <c r="V343" s="2">
        <v>45523.405081007164</v>
      </c>
      <c r="W343" t="s">
        <v>40</v>
      </c>
      <c r="X343">
        <v>0</v>
      </c>
      <c r="Y343" t="s">
        <v>40</v>
      </c>
      <c r="Z343" t="s">
        <v>40</v>
      </c>
      <c r="AA343" t="s">
        <v>40</v>
      </c>
      <c r="AB343">
        <v>0</v>
      </c>
      <c r="AC343" t="s">
        <v>49</v>
      </c>
      <c r="AD343" t="s">
        <v>40</v>
      </c>
      <c r="AE343" t="s">
        <v>40</v>
      </c>
      <c r="AF343" t="s">
        <v>1240</v>
      </c>
      <c r="AG343" t="s">
        <v>40</v>
      </c>
      <c r="AH343" t="s">
        <v>40</v>
      </c>
      <c r="AI343" t="s">
        <v>40</v>
      </c>
      <c r="AJ343" t="s">
        <v>40</v>
      </c>
      <c r="AK343" t="s">
        <v>40</v>
      </c>
      <c r="AL343" t="s">
        <v>40</v>
      </c>
      <c r="AM343" t="s">
        <v>40</v>
      </c>
    </row>
    <row r="344" spans="1:39" x14ac:dyDescent="0.2">
      <c r="A344" s="4" t="s">
        <v>1243</v>
      </c>
      <c r="B344" s="4" t="s">
        <v>1665</v>
      </c>
      <c r="C344" s="4" t="s">
        <v>1783</v>
      </c>
      <c r="D344" s="4" t="s">
        <v>40</v>
      </c>
      <c r="E344" s="4" t="s">
        <v>40</v>
      </c>
      <c r="F344" t="s">
        <v>40</v>
      </c>
      <c r="G344" t="s">
        <v>1245</v>
      </c>
      <c r="H344" t="s">
        <v>1246</v>
      </c>
      <c r="I344" t="s">
        <v>40</v>
      </c>
      <c r="J344" t="s">
        <v>40</v>
      </c>
      <c r="K344" t="s">
        <v>40</v>
      </c>
      <c r="L344" t="s">
        <v>40</v>
      </c>
      <c r="M344">
        <v>4.9000000000000004</v>
      </c>
      <c r="N344">
        <v>0</v>
      </c>
      <c r="O344">
        <v>1</v>
      </c>
      <c r="P344">
        <v>0</v>
      </c>
      <c r="Q344" t="s">
        <v>77</v>
      </c>
      <c r="R344" t="b">
        <v>0</v>
      </c>
      <c r="S344" t="s">
        <v>40</v>
      </c>
      <c r="T344" s="1" t="s">
        <v>49</v>
      </c>
      <c r="U344" t="s">
        <v>1163</v>
      </c>
      <c r="V344" s="2">
        <v>45523.482534722425</v>
      </c>
      <c r="W344" t="s">
        <v>40</v>
      </c>
      <c r="X344">
        <v>0</v>
      </c>
      <c r="Y344" t="s">
        <v>40</v>
      </c>
      <c r="Z344" t="s">
        <v>40</v>
      </c>
      <c r="AA344" t="s">
        <v>40</v>
      </c>
      <c r="AB344">
        <v>0</v>
      </c>
      <c r="AC344" t="s">
        <v>49</v>
      </c>
      <c r="AD344" t="s">
        <v>40</v>
      </c>
      <c r="AE344" t="s">
        <v>40</v>
      </c>
      <c r="AF344" t="s">
        <v>1244</v>
      </c>
      <c r="AG344" t="s">
        <v>40</v>
      </c>
      <c r="AH344" t="s">
        <v>40</v>
      </c>
      <c r="AI344" t="s">
        <v>40</v>
      </c>
      <c r="AJ344" t="s">
        <v>40</v>
      </c>
      <c r="AK344" t="s">
        <v>40</v>
      </c>
      <c r="AL344" t="s">
        <v>40</v>
      </c>
      <c r="AM344" t="s">
        <v>40</v>
      </c>
    </row>
    <row r="345" spans="1:39" x14ac:dyDescent="0.2">
      <c r="A345" s="4" t="s">
        <v>1247</v>
      </c>
      <c r="B345" s="4" t="s">
        <v>1666</v>
      </c>
      <c r="C345" s="4" t="s">
        <v>657</v>
      </c>
      <c r="D345" s="4" t="s">
        <v>40</v>
      </c>
      <c r="E345" s="4" t="s">
        <v>40</v>
      </c>
      <c r="F345" t="s">
        <v>40</v>
      </c>
      <c r="G345" t="s">
        <v>1248</v>
      </c>
      <c r="H345" t="s">
        <v>40</v>
      </c>
      <c r="I345" t="s">
        <v>40</v>
      </c>
      <c r="J345" t="s">
        <v>40</v>
      </c>
      <c r="K345" t="s">
        <v>40</v>
      </c>
      <c r="L345" t="s">
        <v>40</v>
      </c>
      <c r="M345">
        <v>0</v>
      </c>
      <c r="N345">
        <v>0</v>
      </c>
      <c r="O345">
        <v>1</v>
      </c>
      <c r="P345">
        <v>0</v>
      </c>
      <c r="Q345" t="s">
        <v>77</v>
      </c>
      <c r="R345" t="b">
        <v>0</v>
      </c>
      <c r="S345" t="s">
        <v>40</v>
      </c>
      <c r="T345" t="s">
        <v>49</v>
      </c>
      <c r="U345" t="s">
        <v>1163</v>
      </c>
      <c r="V345" s="2">
        <v>45523.622673611157</v>
      </c>
      <c r="W345" t="s">
        <v>1249</v>
      </c>
      <c r="X345">
        <v>0</v>
      </c>
      <c r="Y345" t="s">
        <v>40</v>
      </c>
      <c r="Z345" t="s">
        <v>40</v>
      </c>
      <c r="AA345" t="s">
        <v>40</v>
      </c>
      <c r="AB345">
        <v>0</v>
      </c>
      <c r="AC345" t="s">
        <v>49</v>
      </c>
      <c r="AD345" t="s">
        <v>40</v>
      </c>
      <c r="AE345" t="s">
        <v>40</v>
      </c>
      <c r="AF345" t="s">
        <v>40</v>
      </c>
      <c r="AG345" t="s">
        <v>40</v>
      </c>
      <c r="AH345" t="s">
        <v>40</v>
      </c>
      <c r="AI345" t="s">
        <v>40</v>
      </c>
      <c r="AJ345" t="s">
        <v>40</v>
      </c>
      <c r="AK345" t="s">
        <v>40</v>
      </c>
      <c r="AL345" t="s">
        <v>40</v>
      </c>
      <c r="AM345" t="s">
        <v>40</v>
      </c>
    </row>
    <row r="346" spans="1:39" x14ac:dyDescent="0.2">
      <c r="A346" s="4" t="s">
        <v>1252</v>
      </c>
      <c r="B346" s="4" t="s">
        <v>1667</v>
      </c>
      <c r="C346" s="4" t="s">
        <v>1784</v>
      </c>
      <c r="D346" s="4" t="s">
        <v>40</v>
      </c>
      <c r="E346" s="4" t="s">
        <v>40</v>
      </c>
      <c r="F346" t="s">
        <v>40</v>
      </c>
      <c r="G346" t="s">
        <v>1254</v>
      </c>
      <c r="H346" t="s">
        <v>1255</v>
      </c>
      <c r="I346" t="s">
        <v>40</v>
      </c>
      <c r="J346" t="s">
        <v>40</v>
      </c>
      <c r="K346" t="s">
        <v>40</v>
      </c>
      <c r="L346" t="s">
        <v>40</v>
      </c>
      <c r="M346">
        <v>0</v>
      </c>
      <c r="N346">
        <v>0</v>
      </c>
      <c r="O346">
        <v>1</v>
      </c>
      <c r="P346">
        <v>0</v>
      </c>
      <c r="Q346" t="s">
        <v>77</v>
      </c>
      <c r="R346" t="b">
        <v>0</v>
      </c>
      <c r="S346" t="s">
        <v>40</v>
      </c>
      <c r="T346" t="s">
        <v>49</v>
      </c>
      <c r="U346" t="s">
        <v>1163</v>
      </c>
      <c r="V346" s="2">
        <v>45523.701932858676</v>
      </c>
      <c r="W346" t="s">
        <v>40</v>
      </c>
      <c r="X346">
        <v>0</v>
      </c>
      <c r="Y346" t="s">
        <v>40</v>
      </c>
      <c r="Z346" t="s">
        <v>40</v>
      </c>
      <c r="AA346" t="s">
        <v>40</v>
      </c>
      <c r="AB346">
        <v>0</v>
      </c>
      <c r="AC346" t="s">
        <v>49</v>
      </c>
      <c r="AD346" t="s">
        <v>40</v>
      </c>
      <c r="AE346" t="s">
        <v>40</v>
      </c>
      <c r="AF346" t="s">
        <v>1253</v>
      </c>
      <c r="AG346" t="s">
        <v>40</v>
      </c>
      <c r="AH346" t="s">
        <v>40</v>
      </c>
      <c r="AI346" t="s">
        <v>40</v>
      </c>
      <c r="AJ346" t="s">
        <v>40</v>
      </c>
      <c r="AK346" t="s">
        <v>40</v>
      </c>
      <c r="AL346" t="s">
        <v>40</v>
      </c>
      <c r="AM346" t="s">
        <v>40</v>
      </c>
    </row>
    <row r="347" spans="1:39" x14ac:dyDescent="0.2">
      <c r="A347" s="4" t="s">
        <v>1256</v>
      </c>
      <c r="B347" s="4" t="s">
        <v>1668</v>
      </c>
      <c r="C347" s="4" t="s">
        <v>1785</v>
      </c>
      <c r="D347" s="4" t="s">
        <v>40</v>
      </c>
      <c r="E347" s="4" t="s">
        <v>40</v>
      </c>
      <c r="F347" t="s">
        <v>40</v>
      </c>
      <c r="G347" t="s">
        <v>1258</v>
      </c>
      <c r="H347" t="s">
        <v>1259</v>
      </c>
      <c r="I347" t="s">
        <v>40</v>
      </c>
      <c r="J347" t="s">
        <v>40</v>
      </c>
      <c r="K347" t="s">
        <v>40</v>
      </c>
      <c r="L347" t="s">
        <v>40</v>
      </c>
      <c r="M347">
        <v>0</v>
      </c>
      <c r="N347">
        <v>0</v>
      </c>
      <c r="O347">
        <v>1</v>
      </c>
      <c r="P347">
        <v>0</v>
      </c>
      <c r="Q347" t="s">
        <v>77</v>
      </c>
      <c r="R347" t="b">
        <v>0</v>
      </c>
      <c r="S347" t="s">
        <v>40</v>
      </c>
      <c r="T347" t="s">
        <v>49</v>
      </c>
      <c r="U347" t="s">
        <v>1163</v>
      </c>
      <c r="V347" s="2">
        <v>45524.319166666828</v>
      </c>
      <c r="W347" t="s">
        <v>40</v>
      </c>
      <c r="X347">
        <v>0</v>
      </c>
      <c r="Y347" t="s">
        <v>40</v>
      </c>
      <c r="Z347" t="s">
        <v>40</v>
      </c>
      <c r="AA347" t="s">
        <v>40</v>
      </c>
      <c r="AB347">
        <v>0</v>
      </c>
      <c r="AC347" t="s">
        <v>49</v>
      </c>
      <c r="AD347" t="s">
        <v>40</v>
      </c>
      <c r="AE347" t="s">
        <v>40</v>
      </c>
      <c r="AF347" t="s">
        <v>1257</v>
      </c>
      <c r="AG347" t="s">
        <v>40</v>
      </c>
      <c r="AH347" t="s">
        <v>40</v>
      </c>
      <c r="AI347" t="s">
        <v>40</v>
      </c>
      <c r="AJ347" t="s">
        <v>40</v>
      </c>
      <c r="AK347" t="s">
        <v>40</v>
      </c>
      <c r="AL347" t="s">
        <v>40</v>
      </c>
      <c r="AM347" t="s">
        <v>40</v>
      </c>
    </row>
    <row r="348" spans="1:39" x14ac:dyDescent="0.2">
      <c r="A348" s="4" t="s">
        <v>1260</v>
      </c>
      <c r="B348" s="4" t="s">
        <v>1261</v>
      </c>
      <c r="C348" s="4" t="s">
        <v>40</v>
      </c>
      <c r="D348" s="4" t="s">
        <v>40</v>
      </c>
      <c r="E348" s="4" t="s">
        <v>40</v>
      </c>
      <c r="F348" t="s">
        <v>40</v>
      </c>
      <c r="G348" t="s">
        <v>1260</v>
      </c>
      <c r="H348" t="s">
        <v>40</v>
      </c>
      <c r="I348" t="s">
        <v>40</v>
      </c>
      <c r="J348" t="s">
        <v>40</v>
      </c>
      <c r="K348" t="s">
        <v>40</v>
      </c>
      <c r="L348" t="s">
        <v>40</v>
      </c>
      <c r="M348">
        <v>4.9000000000000004</v>
      </c>
      <c r="N348">
        <v>0</v>
      </c>
      <c r="O348">
        <v>1</v>
      </c>
      <c r="P348">
        <v>0</v>
      </c>
      <c r="Q348" t="s">
        <v>77</v>
      </c>
      <c r="R348" t="b">
        <v>0</v>
      </c>
      <c r="S348" t="s">
        <v>40</v>
      </c>
      <c r="T348">
        <v>45342</v>
      </c>
      <c r="U348" t="s">
        <v>1163</v>
      </c>
      <c r="V348" s="2">
        <v>45524.337233784609</v>
      </c>
      <c r="W348" t="s">
        <v>40</v>
      </c>
      <c r="X348">
        <v>0</v>
      </c>
      <c r="Y348" t="s">
        <v>40</v>
      </c>
      <c r="Z348" t="s">
        <v>40</v>
      </c>
      <c r="AA348" t="s">
        <v>40</v>
      </c>
      <c r="AB348">
        <v>0</v>
      </c>
      <c r="AC348" t="s">
        <v>49</v>
      </c>
      <c r="AD348" t="s">
        <v>40</v>
      </c>
      <c r="AE348" t="s">
        <v>40</v>
      </c>
      <c r="AF348" t="s">
        <v>1261</v>
      </c>
      <c r="AG348" t="s">
        <v>40</v>
      </c>
      <c r="AH348" t="s">
        <v>40</v>
      </c>
      <c r="AI348" t="s">
        <v>40</v>
      </c>
      <c r="AJ348" t="s">
        <v>40</v>
      </c>
      <c r="AK348" t="s">
        <v>40</v>
      </c>
      <c r="AL348" t="s">
        <v>40</v>
      </c>
      <c r="AM348" t="s">
        <v>40</v>
      </c>
    </row>
    <row r="349" spans="1:39" x14ac:dyDescent="0.2">
      <c r="A349" s="4" t="s">
        <v>1262</v>
      </c>
      <c r="B349" s="4" t="s">
        <v>1263</v>
      </c>
      <c r="C349" s="4" t="s">
        <v>40</v>
      </c>
      <c r="D349" s="4" t="s">
        <v>40</v>
      </c>
      <c r="E349" s="4" t="s">
        <v>40</v>
      </c>
      <c r="F349" t="s">
        <v>40</v>
      </c>
      <c r="G349" t="s">
        <v>1262</v>
      </c>
      <c r="H349" t="s">
        <v>40</v>
      </c>
      <c r="I349" t="s">
        <v>40</v>
      </c>
      <c r="J349" t="s">
        <v>40</v>
      </c>
      <c r="K349" t="s">
        <v>40</v>
      </c>
      <c r="L349" t="s">
        <v>40</v>
      </c>
      <c r="M349">
        <v>14.700000000000001</v>
      </c>
      <c r="N349">
        <v>0</v>
      </c>
      <c r="O349">
        <v>1</v>
      </c>
      <c r="P349">
        <v>0</v>
      </c>
      <c r="Q349" t="s">
        <v>77</v>
      </c>
      <c r="R349" t="b">
        <v>0</v>
      </c>
      <c r="S349" t="s">
        <v>40</v>
      </c>
      <c r="T349" s="1" t="s">
        <v>49</v>
      </c>
      <c r="U349" t="s">
        <v>1163</v>
      </c>
      <c r="V349" s="2">
        <v>45528.382245359011</v>
      </c>
      <c r="W349" t="s">
        <v>40</v>
      </c>
      <c r="X349">
        <v>0</v>
      </c>
      <c r="Y349" t="s">
        <v>40</v>
      </c>
      <c r="Z349" t="s">
        <v>40</v>
      </c>
      <c r="AA349" t="s">
        <v>40</v>
      </c>
      <c r="AB349">
        <v>0</v>
      </c>
      <c r="AC349" t="s">
        <v>49</v>
      </c>
      <c r="AD349" t="s">
        <v>40</v>
      </c>
      <c r="AE349" t="s">
        <v>40</v>
      </c>
      <c r="AF349" t="s">
        <v>1263</v>
      </c>
      <c r="AG349" t="s">
        <v>40</v>
      </c>
      <c r="AH349" t="s">
        <v>40</v>
      </c>
      <c r="AI349" t="s">
        <v>40</v>
      </c>
      <c r="AJ349" t="s">
        <v>40</v>
      </c>
      <c r="AK349" t="s">
        <v>40</v>
      </c>
      <c r="AL349" t="s">
        <v>40</v>
      </c>
      <c r="AM349" t="s">
        <v>40</v>
      </c>
    </row>
    <row r="350" spans="1:39" x14ac:dyDescent="0.2">
      <c r="A350" s="4" t="s">
        <v>1264</v>
      </c>
      <c r="B350" s="4" t="s">
        <v>1669</v>
      </c>
      <c r="C350" s="4" t="s">
        <v>51</v>
      </c>
      <c r="D350" s="4" t="s">
        <v>40</v>
      </c>
      <c r="E350" s="4" t="s">
        <v>40</v>
      </c>
      <c r="F350" t="s">
        <v>40</v>
      </c>
      <c r="G350" t="s">
        <v>1266</v>
      </c>
      <c r="H350" t="s">
        <v>1267</v>
      </c>
      <c r="I350" t="s">
        <v>40</v>
      </c>
      <c r="J350" t="s">
        <v>40</v>
      </c>
      <c r="K350" t="s">
        <v>40</v>
      </c>
      <c r="L350" t="s">
        <v>40</v>
      </c>
      <c r="M350">
        <v>0</v>
      </c>
      <c r="N350">
        <v>0</v>
      </c>
      <c r="O350">
        <v>1</v>
      </c>
      <c r="P350">
        <v>0</v>
      </c>
      <c r="Q350" t="s">
        <v>77</v>
      </c>
      <c r="R350" t="b">
        <v>0</v>
      </c>
      <c r="S350" t="s">
        <v>40</v>
      </c>
      <c r="T350" t="s">
        <v>49</v>
      </c>
      <c r="U350" t="s">
        <v>1163</v>
      </c>
      <c r="V350" s="2">
        <v>45530.468518506736</v>
      </c>
      <c r="W350" t="s">
        <v>40</v>
      </c>
      <c r="X350">
        <v>0</v>
      </c>
      <c r="Y350" t="s">
        <v>40</v>
      </c>
      <c r="Z350" t="s">
        <v>40</v>
      </c>
      <c r="AA350" t="s">
        <v>40</v>
      </c>
      <c r="AB350">
        <v>0</v>
      </c>
      <c r="AC350" t="s">
        <v>49</v>
      </c>
      <c r="AD350" t="s">
        <v>40</v>
      </c>
      <c r="AE350" t="s">
        <v>40</v>
      </c>
      <c r="AF350" t="s">
        <v>1265</v>
      </c>
      <c r="AG350" t="s">
        <v>40</v>
      </c>
      <c r="AH350" t="s">
        <v>40</v>
      </c>
      <c r="AI350" t="s">
        <v>40</v>
      </c>
      <c r="AJ350" t="s">
        <v>40</v>
      </c>
      <c r="AK350" t="s">
        <v>40</v>
      </c>
      <c r="AL350" t="s">
        <v>40</v>
      </c>
      <c r="AM350" t="s">
        <v>40</v>
      </c>
    </row>
    <row r="351" spans="1:39" x14ac:dyDescent="0.2">
      <c r="A351" s="4" t="s">
        <v>1268</v>
      </c>
      <c r="B351" s="4" t="s">
        <v>1670</v>
      </c>
      <c r="C351" s="4" t="s">
        <v>1786</v>
      </c>
      <c r="D351" s="4" t="s">
        <v>40</v>
      </c>
      <c r="E351" s="4" t="s">
        <v>40</v>
      </c>
      <c r="F351" t="s">
        <v>40</v>
      </c>
      <c r="G351" t="s">
        <v>1270</v>
      </c>
      <c r="H351" t="s">
        <v>1271</v>
      </c>
      <c r="I351" t="s">
        <v>40</v>
      </c>
      <c r="J351" t="s">
        <v>40</v>
      </c>
      <c r="K351" t="s">
        <v>40</v>
      </c>
      <c r="L351" t="s">
        <v>40</v>
      </c>
      <c r="M351">
        <v>102.9</v>
      </c>
      <c r="N351">
        <v>0</v>
      </c>
      <c r="O351">
        <v>1</v>
      </c>
      <c r="P351">
        <v>0</v>
      </c>
      <c r="Q351" t="s">
        <v>77</v>
      </c>
      <c r="R351" t="b">
        <v>0</v>
      </c>
      <c r="S351" t="s">
        <v>40</v>
      </c>
      <c r="T351" t="s">
        <v>49</v>
      </c>
      <c r="U351" t="s">
        <v>1163</v>
      </c>
      <c r="V351" s="2">
        <v>45530.521284722257</v>
      </c>
      <c r="W351" t="s">
        <v>40</v>
      </c>
      <c r="X351">
        <v>0</v>
      </c>
      <c r="Y351" t="s">
        <v>40</v>
      </c>
      <c r="Z351" t="s">
        <v>40</v>
      </c>
      <c r="AA351" t="s">
        <v>40</v>
      </c>
      <c r="AB351">
        <v>0</v>
      </c>
      <c r="AC351" t="s">
        <v>49</v>
      </c>
      <c r="AD351" t="s">
        <v>40</v>
      </c>
      <c r="AE351" t="s">
        <v>40</v>
      </c>
      <c r="AF351" t="s">
        <v>1269</v>
      </c>
      <c r="AG351" t="s">
        <v>40</v>
      </c>
      <c r="AH351" t="s">
        <v>40</v>
      </c>
      <c r="AI351" t="s">
        <v>40</v>
      </c>
      <c r="AJ351" t="s">
        <v>40</v>
      </c>
      <c r="AK351" t="s">
        <v>40</v>
      </c>
      <c r="AL351" t="s">
        <v>40</v>
      </c>
      <c r="AM351" t="s">
        <v>40</v>
      </c>
    </row>
    <row r="352" spans="1:39" x14ac:dyDescent="0.2">
      <c r="A352" s="4" t="s">
        <v>1272</v>
      </c>
      <c r="B352" s="4" t="s">
        <v>1671</v>
      </c>
      <c r="C352" s="4" t="s">
        <v>40</v>
      </c>
      <c r="D352" s="4" t="s">
        <v>40</v>
      </c>
      <c r="E352" s="4" t="s">
        <v>40</v>
      </c>
      <c r="F352" t="s">
        <v>40</v>
      </c>
      <c r="G352" t="s">
        <v>1274</v>
      </c>
      <c r="H352" t="s">
        <v>1275</v>
      </c>
      <c r="I352" t="s">
        <v>40</v>
      </c>
      <c r="J352" t="s">
        <v>40</v>
      </c>
      <c r="K352" t="s">
        <v>40</v>
      </c>
      <c r="L352" t="s">
        <v>40</v>
      </c>
      <c r="M352">
        <v>0</v>
      </c>
      <c r="N352">
        <v>0</v>
      </c>
      <c r="O352">
        <v>1</v>
      </c>
      <c r="P352">
        <v>0</v>
      </c>
      <c r="Q352" t="s">
        <v>77</v>
      </c>
      <c r="R352" t="b">
        <v>0</v>
      </c>
      <c r="S352" t="s">
        <v>40</v>
      </c>
      <c r="T352" s="1" t="s">
        <v>49</v>
      </c>
      <c r="U352" t="s">
        <v>1163</v>
      </c>
      <c r="V352" s="2">
        <v>45530.645636562724</v>
      </c>
      <c r="W352" t="s">
        <v>40</v>
      </c>
      <c r="X352">
        <v>0</v>
      </c>
      <c r="Y352" t="s">
        <v>40</v>
      </c>
      <c r="Z352" t="s">
        <v>40</v>
      </c>
      <c r="AA352" t="s">
        <v>40</v>
      </c>
      <c r="AB352">
        <v>0</v>
      </c>
      <c r="AC352" t="s">
        <v>49</v>
      </c>
      <c r="AD352" t="s">
        <v>40</v>
      </c>
      <c r="AE352" t="s">
        <v>40</v>
      </c>
      <c r="AF352" t="s">
        <v>1273</v>
      </c>
      <c r="AG352" t="s">
        <v>40</v>
      </c>
      <c r="AH352" t="s">
        <v>40</v>
      </c>
      <c r="AI352" t="s">
        <v>40</v>
      </c>
      <c r="AJ352" t="s">
        <v>40</v>
      </c>
      <c r="AK352" t="s">
        <v>40</v>
      </c>
      <c r="AL352" t="s">
        <v>40</v>
      </c>
      <c r="AM352" t="s">
        <v>40</v>
      </c>
    </row>
    <row r="353" spans="1:39" x14ac:dyDescent="0.2">
      <c r="A353" s="4" t="s">
        <v>1276</v>
      </c>
      <c r="B353" s="4" t="s">
        <v>1672</v>
      </c>
      <c r="C353" s="4" t="s">
        <v>1787</v>
      </c>
      <c r="D353" s="4" t="s">
        <v>335</v>
      </c>
      <c r="E353" s="4" t="s">
        <v>336</v>
      </c>
      <c r="F353" t="s">
        <v>40</v>
      </c>
      <c r="G353" t="s">
        <v>1276</v>
      </c>
      <c r="H353" t="s">
        <v>1278</v>
      </c>
      <c r="I353" t="s">
        <v>40</v>
      </c>
      <c r="J353" t="s">
        <v>40</v>
      </c>
      <c r="K353" t="s">
        <v>40</v>
      </c>
      <c r="L353" t="s">
        <v>40</v>
      </c>
      <c r="M353">
        <v>0</v>
      </c>
      <c r="N353">
        <v>0</v>
      </c>
      <c r="O353">
        <v>1</v>
      </c>
      <c r="P353">
        <v>0</v>
      </c>
      <c r="Q353" t="s">
        <v>77</v>
      </c>
      <c r="R353" t="b">
        <v>0</v>
      </c>
      <c r="S353" t="s">
        <v>40</v>
      </c>
      <c r="T353" s="1" t="s">
        <v>49</v>
      </c>
      <c r="U353" t="s">
        <v>1173</v>
      </c>
      <c r="V353" s="2">
        <v>45531.434039351996</v>
      </c>
      <c r="W353" t="s">
        <v>40</v>
      </c>
      <c r="X353">
        <v>1</v>
      </c>
      <c r="Y353" t="s">
        <v>1279</v>
      </c>
      <c r="Z353" t="s">
        <v>40</v>
      </c>
      <c r="AA353" t="s">
        <v>40</v>
      </c>
      <c r="AB353">
        <v>2</v>
      </c>
      <c r="AC353" t="s">
        <v>49</v>
      </c>
      <c r="AD353" t="s">
        <v>40</v>
      </c>
      <c r="AE353" t="s">
        <v>40</v>
      </c>
      <c r="AF353" t="s">
        <v>1277</v>
      </c>
      <c r="AG353" t="s">
        <v>40</v>
      </c>
      <c r="AH353" t="s">
        <v>1280</v>
      </c>
      <c r="AI353" t="s">
        <v>1281</v>
      </c>
      <c r="AJ353" t="s">
        <v>1185</v>
      </c>
      <c r="AK353" t="s">
        <v>1282</v>
      </c>
      <c r="AL353" t="s">
        <v>420</v>
      </c>
      <c r="AM353" t="s">
        <v>421</v>
      </c>
    </row>
    <row r="354" spans="1:39" x14ac:dyDescent="0.2">
      <c r="A354" s="4" t="s">
        <v>1283</v>
      </c>
      <c r="B354" s="4" t="s">
        <v>1284</v>
      </c>
      <c r="C354" s="4" t="s">
        <v>1788</v>
      </c>
      <c r="D354" s="4" t="s">
        <v>40</v>
      </c>
      <c r="E354" s="4" t="s">
        <v>40</v>
      </c>
      <c r="F354" t="s">
        <v>40</v>
      </c>
      <c r="G354" t="s">
        <v>1285</v>
      </c>
      <c r="H354" t="s">
        <v>1286</v>
      </c>
      <c r="I354" t="s">
        <v>40</v>
      </c>
      <c r="J354" t="s">
        <v>40</v>
      </c>
      <c r="K354" t="s">
        <v>40</v>
      </c>
      <c r="L354" t="s">
        <v>40</v>
      </c>
      <c r="M354">
        <v>0</v>
      </c>
      <c r="N354">
        <v>0</v>
      </c>
      <c r="O354">
        <v>1</v>
      </c>
      <c r="P354">
        <v>0</v>
      </c>
      <c r="Q354" t="s">
        <v>77</v>
      </c>
      <c r="R354" t="b">
        <v>0</v>
      </c>
      <c r="S354" t="s">
        <v>40</v>
      </c>
      <c r="T354" t="s">
        <v>49</v>
      </c>
      <c r="U354" t="s">
        <v>1163</v>
      </c>
      <c r="V354" s="2">
        <v>45531.560810173396</v>
      </c>
      <c r="W354" t="s">
        <v>40</v>
      </c>
      <c r="X354">
        <v>0</v>
      </c>
      <c r="Y354" t="s">
        <v>40</v>
      </c>
      <c r="Z354" t="s">
        <v>40</v>
      </c>
      <c r="AA354" t="s">
        <v>40</v>
      </c>
      <c r="AB354">
        <v>0</v>
      </c>
      <c r="AC354" t="s">
        <v>49</v>
      </c>
      <c r="AD354" t="s">
        <v>40</v>
      </c>
      <c r="AE354" t="s">
        <v>40</v>
      </c>
      <c r="AF354" t="s">
        <v>1284</v>
      </c>
      <c r="AG354" t="s">
        <v>40</v>
      </c>
      <c r="AH354" t="s">
        <v>40</v>
      </c>
      <c r="AI354" t="s">
        <v>40</v>
      </c>
      <c r="AJ354" t="s">
        <v>40</v>
      </c>
      <c r="AK354" t="s">
        <v>40</v>
      </c>
      <c r="AL354" t="s">
        <v>40</v>
      </c>
      <c r="AM354" t="s">
        <v>40</v>
      </c>
    </row>
    <row r="355" spans="1:39" x14ac:dyDescent="0.2">
      <c r="A355" s="4" t="s">
        <v>1287</v>
      </c>
      <c r="B355" s="4" t="s">
        <v>1673</v>
      </c>
      <c r="C355" s="4" t="s">
        <v>1289</v>
      </c>
      <c r="D355" s="4" t="s">
        <v>51</v>
      </c>
      <c r="E355" s="4" t="s">
        <v>51</v>
      </c>
      <c r="F355" t="s">
        <v>40</v>
      </c>
      <c r="G355" t="s">
        <v>1287</v>
      </c>
      <c r="H355" t="s">
        <v>1290</v>
      </c>
      <c r="I355" t="s">
        <v>40</v>
      </c>
      <c r="J355" t="s">
        <v>40</v>
      </c>
      <c r="K355" t="s">
        <v>40</v>
      </c>
      <c r="L355" t="s">
        <v>40</v>
      </c>
      <c r="M355">
        <v>0</v>
      </c>
      <c r="N355">
        <v>0</v>
      </c>
      <c r="O355">
        <v>1</v>
      </c>
      <c r="P355">
        <v>0</v>
      </c>
      <c r="Q355" t="s">
        <v>77</v>
      </c>
      <c r="R355" t="b">
        <v>0</v>
      </c>
      <c r="S355" t="s">
        <v>40</v>
      </c>
      <c r="T355" s="1" t="s">
        <v>49</v>
      </c>
      <c r="U355" t="s">
        <v>1173</v>
      </c>
      <c r="V355" s="2">
        <v>45531.721874988638</v>
      </c>
      <c r="W355" t="s">
        <v>40</v>
      </c>
      <c r="X355">
        <v>0</v>
      </c>
      <c r="Y355" t="s">
        <v>40</v>
      </c>
      <c r="Z355" t="s">
        <v>40</v>
      </c>
      <c r="AA355" t="s">
        <v>40</v>
      </c>
      <c r="AB355">
        <v>0</v>
      </c>
      <c r="AC355" t="s">
        <v>49</v>
      </c>
      <c r="AD355" t="s">
        <v>40</v>
      </c>
      <c r="AE355" t="s">
        <v>40</v>
      </c>
      <c r="AF355" t="s">
        <v>1288</v>
      </c>
      <c r="AG355" t="s">
        <v>40</v>
      </c>
      <c r="AH355" t="s">
        <v>40</v>
      </c>
      <c r="AI355" t="s">
        <v>40</v>
      </c>
      <c r="AJ355" t="s">
        <v>46</v>
      </c>
      <c r="AK355" t="s">
        <v>419</v>
      </c>
      <c r="AL355" t="s">
        <v>420</v>
      </c>
      <c r="AM355" t="s">
        <v>421</v>
      </c>
    </row>
    <row r="356" spans="1:39" x14ac:dyDescent="0.2">
      <c r="A356" s="4" t="s">
        <v>1291</v>
      </c>
      <c r="B356" s="4" t="s">
        <v>1674</v>
      </c>
      <c r="C356" s="4" t="s">
        <v>40</v>
      </c>
      <c r="D356" s="4" t="s">
        <v>51</v>
      </c>
      <c r="E356" s="4" t="s">
        <v>51</v>
      </c>
      <c r="F356" t="s">
        <v>40</v>
      </c>
      <c r="G356" t="s">
        <v>1291</v>
      </c>
      <c r="H356" t="s">
        <v>1293</v>
      </c>
      <c r="I356" t="s">
        <v>40</v>
      </c>
      <c r="J356" t="s">
        <v>40</v>
      </c>
      <c r="K356" t="s">
        <v>40</v>
      </c>
      <c r="L356" t="s">
        <v>40</v>
      </c>
      <c r="M356">
        <v>0</v>
      </c>
      <c r="N356">
        <v>0</v>
      </c>
      <c r="O356">
        <v>1</v>
      </c>
      <c r="P356">
        <v>0</v>
      </c>
      <c r="Q356" t="s">
        <v>77</v>
      </c>
      <c r="R356" t="b">
        <v>0</v>
      </c>
      <c r="S356" t="s">
        <v>40</v>
      </c>
      <c r="T356" s="1" t="s">
        <v>49</v>
      </c>
      <c r="U356" t="s">
        <v>1173</v>
      </c>
      <c r="V356" s="2">
        <v>45532.492939814925</v>
      </c>
      <c r="W356" t="s">
        <v>40</v>
      </c>
      <c r="X356">
        <v>0</v>
      </c>
      <c r="Y356" t="s">
        <v>40</v>
      </c>
      <c r="Z356" t="s">
        <v>40</v>
      </c>
      <c r="AA356" t="s">
        <v>40</v>
      </c>
      <c r="AB356">
        <v>0</v>
      </c>
      <c r="AC356" t="s">
        <v>49</v>
      </c>
      <c r="AD356" t="s">
        <v>40</v>
      </c>
      <c r="AE356" t="s">
        <v>40</v>
      </c>
      <c r="AF356" t="s">
        <v>1292</v>
      </c>
      <c r="AG356" t="s">
        <v>40</v>
      </c>
      <c r="AH356" t="s">
        <v>40</v>
      </c>
      <c r="AI356" t="s">
        <v>40</v>
      </c>
      <c r="AJ356" t="s">
        <v>46</v>
      </c>
      <c r="AK356" t="s">
        <v>419</v>
      </c>
      <c r="AL356" t="s">
        <v>420</v>
      </c>
      <c r="AM356" t="s">
        <v>421</v>
      </c>
    </row>
    <row r="357" spans="1:39" x14ac:dyDescent="0.2">
      <c r="A357" s="4" t="s">
        <v>1294</v>
      </c>
      <c r="B357" s="4" t="s">
        <v>1675</v>
      </c>
      <c r="C357" s="4" t="s">
        <v>1789</v>
      </c>
      <c r="D357" s="4" t="s">
        <v>51</v>
      </c>
      <c r="E357" s="4" t="s">
        <v>51</v>
      </c>
      <c r="F357" t="s">
        <v>40</v>
      </c>
      <c r="G357" t="s">
        <v>1250</v>
      </c>
      <c r="H357" t="s">
        <v>1251</v>
      </c>
      <c r="I357" t="s">
        <v>40</v>
      </c>
      <c r="J357" t="s">
        <v>40</v>
      </c>
      <c r="K357" t="s">
        <v>40</v>
      </c>
      <c r="L357" t="s">
        <v>40</v>
      </c>
      <c r="M357">
        <v>0</v>
      </c>
      <c r="N357">
        <v>0</v>
      </c>
      <c r="O357">
        <v>1</v>
      </c>
      <c r="P357">
        <v>0</v>
      </c>
      <c r="Q357" t="s">
        <v>77</v>
      </c>
      <c r="R357" t="b">
        <v>0</v>
      </c>
      <c r="S357" t="s">
        <v>40</v>
      </c>
      <c r="T357" t="s">
        <v>49</v>
      </c>
      <c r="U357" t="s">
        <v>1173</v>
      </c>
      <c r="V357" s="2">
        <v>45533.406157407444</v>
      </c>
      <c r="W357" t="s">
        <v>40</v>
      </c>
      <c r="X357">
        <v>0</v>
      </c>
      <c r="Y357" t="s">
        <v>40</v>
      </c>
      <c r="Z357" t="s">
        <v>40</v>
      </c>
      <c r="AA357" t="s">
        <v>40</v>
      </c>
      <c r="AB357">
        <v>2</v>
      </c>
      <c r="AC357" t="s">
        <v>49</v>
      </c>
      <c r="AD357" t="s">
        <v>40</v>
      </c>
      <c r="AE357" t="s">
        <v>40</v>
      </c>
      <c r="AF357" t="s">
        <v>1295</v>
      </c>
      <c r="AG357" t="s">
        <v>40</v>
      </c>
      <c r="AH357" t="s">
        <v>40</v>
      </c>
      <c r="AI357" t="s">
        <v>40</v>
      </c>
      <c r="AJ357" t="s">
        <v>46</v>
      </c>
      <c r="AK357" t="s">
        <v>419</v>
      </c>
      <c r="AL357" t="s">
        <v>420</v>
      </c>
      <c r="AM357" t="s">
        <v>421</v>
      </c>
    </row>
    <row r="358" spans="1:39" x14ac:dyDescent="0.2">
      <c r="A358" s="4" t="s">
        <v>1296</v>
      </c>
      <c r="B358" s="4" t="s">
        <v>1297</v>
      </c>
      <c r="C358" s="4" t="s">
        <v>40</v>
      </c>
      <c r="D358" s="4" t="s">
        <v>40</v>
      </c>
      <c r="E358" s="4" t="s">
        <v>40</v>
      </c>
      <c r="F358" t="s">
        <v>40</v>
      </c>
      <c r="G358" t="s">
        <v>1296</v>
      </c>
      <c r="H358" t="s">
        <v>40</v>
      </c>
      <c r="I358" t="s">
        <v>40</v>
      </c>
      <c r="J358" t="s">
        <v>40</v>
      </c>
      <c r="K358" t="s">
        <v>40</v>
      </c>
      <c r="L358" t="s">
        <v>40</v>
      </c>
      <c r="M358">
        <v>7.3500000000000005</v>
      </c>
      <c r="N358">
        <v>0</v>
      </c>
      <c r="O358">
        <v>1</v>
      </c>
      <c r="P358">
        <v>0</v>
      </c>
      <c r="Q358" t="s">
        <v>77</v>
      </c>
      <c r="R358" t="b">
        <v>0</v>
      </c>
      <c r="S358" t="s">
        <v>40</v>
      </c>
      <c r="T358" s="1" t="s">
        <v>49</v>
      </c>
      <c r="U358" t="s">
        <v>1163</v>
      </c>
      <c r="V358" s="2">
        <v>45539.598032407463</v>
      </c>
      <c r="W358" t="s">
        <v>40</v>
      </c>
      <c r="X358">
        <v>0</v>
      </c>
      <c r="Y358" t="s">
        <v>40</v>
      </c>
      <c r="Z358" t="s">
        <v>40</v>
      </c>
      <c r="AA358" t="s">
        <v>40</v>
      </c>
      <c r="AB358">
        <v>0</v>
      </c>
      <c r="AC358" t="s">
        <v>49</v>
      </c>
      <c r="AD358" t="s">
        <v>40</v>
      </c>
      <c r="AE358" t="s">
        <v>40</v>
      </c>
      <c r="AF358" t="s">
        <v>40</v>
      </c>
      <c r="AG358" t="s">
        <v>40</v>
      </c>
      <c r="AH358" t="s">
        <v>40</v>
      </c>
      <c r="AI358" t="s">
        <v>40</v>
      </c>
      <c r="AJ358" t="s">
        <v>40</v>
      </c>
      <c r="AK358" t="s">
        <v>40</v>
      </c>
      <c r="AL358" t="s">
        <v>40</v>
      </c>
      <c r="AM358" t="s">
        <v>40</v>
      </c>
    </row>
    <row r="359" spans="1:39" x14ac:dyDescent="0.2">
      <c r="A359" s="4" t="s">
        <v>1298</v>
      </c>
      <c r="B359" s="4" t="s">
        <v>1299</v>
      </c>
      <c r="C359" s="4" t="s">
        <v>40</v>
      </c>
      <c r="D359" s="4" t="s">
        <v>40</v>
      </c>
      <c r="E359" s="4" t="s">
        <v>40</v>
      </c>
      <c r="F359" t="s">
        <v>40</v>
      </c>
      <c r="G359" t="s">
        <v>1298</v>
      </c>
      <c r="H359" t="s">
        <v>40</v>
      </c>
      <c r="I359" t="s">
        <v>40</v>
      </c>
      <c r="J359" t="s">
        <v>40</v>
      </c>
      <c r="K359" t="s">
        <v>40</v>
      </c>
      <c r="L359" t="s">
        <v>40</v>
      </c>
      <c r="M359">
        <v>12.9</v>
      </c>
      <c r="N359">
        <v>0</v>
      </c>
      <c r="O359">
        <v>1</v>
      </c>
      <c r="P359">
        <v>0</v>
      </c>
      <c r="Q359" t="s">
        <v>77</v>
      </c>
      <c r="R359" t="b">
        <v>0</v>
      </c>
      <c r="S359" t="s">
        <v>40</v>
      </c>
      <c r="T359" t="s">
        <v>49</v>
      </c>
      <c r="U359" t="s">
        <v>1163</v>
      </c>
      <c r="V359" s="2">
        <v>45552.418356469832</v>
      </c>
      <c r="W359" t="s">
        <v>40</v>
      </c>
      <c r="X359">
        <v>0</v>
      </c>
      <c r="Y359" t="s">
        <v>40</v>
      </c>
      <c r="Z359" t="s">
        <v>40</v>
      </c>
      <c r="AA359" t="s">
        <v>40</v>
      </c>
      <c r="AB359">
        <v>0</v>
      </c>
      <c r="AC359" t="s">
        <v>49</v>
      </c>
      <c r="AD359" t="s">
        <v>40</v>
      </c>
      <c r="AE359" t="s">
        <v>40</v>
      </c>
      <c r="AF359" t="s">
        <v>40</v>
      </c>
      <c r="AG359" t="s">
        <v>40</v>
      </c>
      <c r="AH359" t="s">
        <v>40</v>
      </c>
      <c r="AI359" t="s">
        <v>40</v>
      </c>
      <c r="AJ359" t="s">
        <v>40</v>
      </c>
      <c r="AK359" t="s">
        <v>40</v>
      </c>
      <c r="AL359" t="s">
        <v>40</v>
      </c>
      <c r="AM359" t="s">
        <v>40</v>
      </c>
    </row>
    <row r="360" spans="1:39" x14ac:dyDescent="0.2">
      <c r="A360" s="4" t="s">
        <v>1300</v>
      </c>
      <c r="B360" s="4" t="s">
        <v>1301</v>
      </c>
      <c r="C360" s="4" t="s">
        <v>40</v>
      </c>
      <c r="D360" s="4" t="s">
        <v>40</v>
      </c>
      <c r="E360" s="4" t="s">
        <v>40</v>
      </c>
      <c r="F360" t="s">
        <v>40</v>
      </c>
      <c r="G360" t="s">
        <v>1300</v>
      </c>
      <c r="H360" t="s">
        <v>40</v>
      </c>
      <c r="I360" t="s">
        <v>40</v>
      </c>
      <c r="J360" t="s">
        <v>40</v>
      </c>
      <c r="K360" t="s">
        <v>40</v>
      </c>
      <c r="L360" t="s">
        <v>40</v>
      </c>
      <c r="M360">
        <v>14.700000000000001</v>
      </c>
      <c r="N360">
        <v>0</v>
      </c>
      <c r="O360">
        <v>1</v>
      </c>
      <c r="P360">
        <v>0</v>
      </c>
      <c r="Q360" t="s">
        <v>77</v>
      </c>
      <c r="R360" t="b">
        <v>0</v>
      </c>
      <c r="S360" t="s">
        <v>40</v>
      </c>
      <c r="T360" s="1" t="s">
        <v>49</v>
      </c>
      <c r="U360" t="s">
        <v>1163</v>
      </c>
      <c r="V360" s="2">
        <v>45553.455520833377</v>
      </c>
      <c r="W360" t="s">
        <v>40</v>
      </c>
      <c r="X360">
        <v>0</v>
      </c>
      <c r="Y360" t="s">
        <v>40</v>
      </c>
      <c r="Z360" t="s">
        <v>40</v>
      </c>
      <c r="AA360" t="s">
        <v>40</v>
      </c>
      <c r="AB360">
        <v>0</v>
      </c>
      <c r="AC360" t="s">
        <v>49</v>
      </c>
      <c r="AD360" t="s">
        <v>40</v>
      </c>
      <c r="AE360" t="s">
        <v>40</v>
      </c>
      <c r="AF360" t="s">
        <v>40</v>
      </c>
      <c r="AG360" t="s">
        <v>40</v>
      </c>
      <c r="AH360" t="s">
        <v>40</v>
      </c>
      <c r="AI360" t="s">
        <v>40</v>
      </c>
      <c r="AJ360" t="s">
        <v>40</v>
      </c>
      <c r="AK360" t="s">
        <v>40</v>
      </c>
      <c r="AL360" t="s">
        <v>40</v>
      </c>
      <c r="AM360" t="s">
        <v>40</v>
      </c>
    </row>
    <row r="361" spans="1:39" x14ac:dyDescent="0.2">
      <c r="A361" s="4" t="s">
        <v>1302</v>
      </c>
      <c r="B361" s="4" t="s">
        <v>1303</v>
      </c>
      <c r="C361" s="4" t="s">
        <v>40</v>
      </c>
      <c r="D361" s="4" t="s">
        <v>40</v>
      </c>
      <c r="E361" s="4" t="s">
        <v>40</v>
      </c>
      <c r="F361" t="s">
        <v>40</v>
      </c>
      <c r="G361" t="s">
        <v>1302</v>
      </c>
      <c r="H361" t="s">
        <v>40</v>
      </c>
      <c r="I361" t="s">
        <v>40</v>
      </c>
      <c r="J361" t="s">
        <v>40</v>
      </c>
      <c r="K361" t="s">
        <v>40</v>
      </c>
      <c r="L361" t="s">
        <v>40</v>
      </c>
      <c r="M361">
        <v>0</v>
      </c>
      <c r="N361">
        <v>0</v>
      </c>
      <c r="O361">
        <v>1</v>
      </c>
      <c r="P361">
        <v>0</v>
      </c>
      <c r="Q361" t="s">
        <v>77</v>
      </c>
      <c r="R361" t="b">
        <v>0</v>
      </c>
      <c r="S361" t="s">
        <v>40</v>
      </c>
      <c r="T361">
        <v>45558</v>
      </c>
      <c r="U361" t="s">
        <v>1163</v>
      </c>
      <c r="V361" s="2">
        <v>45553.491168969776</v>
      </c>
      <c r="W361" t="s">
        <v>40</v>
      </c>
      <c r="X361">
        <v>0</v>
      </c>
      <c r="Y361" t="s">
        <v>40</v>
      </c>
      <c r="Z361" t="s">
        <v>40</v>
      </c>
      <c r="AA361" t="s">
        <v>40</v>
      </c>
      <c r="AB361">
        <v>0</v>
      </c>
      <c r="AC361" t="s">
        <v>49</v>
      </c>
      <c r="AD361" t="s">
        <v>40</v>
      </c>
      <c r="AE361" t="s">
        <v>40</v>
      </c>
      <c r="AF361" t="s">
        <v>40</v>
      </c>
      <c r="AG361" t="s">
        <v>40</v>
      </c>
      <c r="AH361" t="s">
        <v>40</v>
      </c>
      <c r="AI361" t="s">
        <v>40</v>
      </c>
      <c r="AJ361" t="s">
        <v>40</v>
      </c>
      <c r="AK361" t="s">
        <v>40</v>
      </c>
      <c r="AL361" t="s">
        <v>40</v>
      </c>
      <c r="AM361" t="s">
        <v>40</v>
      </c>
    </row>
    <row r="362" spans="1:39" x14ac:dyDescent="0.2">
      <c r="A362" s="4" t="s">
        <v>1304</v>
      </c>
      <c r="B362" s="4" t="s">
        <v>1676</v>
      </c>
      <c r="C362" s="4" t="s">
        <v>40</v>
      </c>
      <c r="D362" s="4" t="s">
        <v>51</v>
      </c>
      <c r="E362" s="4" t="s">
        <v>51</v>
      </c>
      <c r="F362" t="s">
        <v>40</v>
      </c>
      <c r="G362" t="s">
        <v>1306</v>
      </c>
      <c r="H362" t="s">
        <v>1307</v>
      </c>
      <c r="I362" t="s">
        <v>40</v>
      </c>
      <c r="J362" t="s">
        <v>40</v>
      </c>
      <c r="K362" t="s">
        <v>40</v>
      </c>
      <c r="L362" t="s">
        <v>40</v>
      </c>
      <c r="M362">
        <v>0</v>
      </c>
      <c r="N362">
        <v>0</v>
      </c>
      <c r="O362">
        <v>1</v>
      </c>
      <c r="P362">
        <v>0</v>
      </c>
      <c r="Q362" t="s">
        <v>77</v>
      </c>
      <c r="R362" t="b">
        <v>0</v>
      </c>
      <c r="S362" t="s">
        <v>40</v>
      </c>
      <c r="T362" s="1" t="s">
        <v>49</v>
      </c>
      <c r="U362" t="s">
        <v>1173</v>
      </c>
      <c r="V362" s="2">
        <v>45556.406018506736</v>
      </c>
      <c r="W362" t="s">
        <v>40</v>
      </c>
      <c r="X362">
        <v>0</v>
      </c>
      <c r="Y362" t="s">
        <v>40</v>
      </c>
      <c r="Z362" t="s">
        <v>40</v>
      </c>
      <c r="AA362" t="s">
        <v>40</v>
      </c>
      <c r="AB362">
        <v>0</v>
      </c>
      <c r="AC362" t="s">
        <v>49</v>
      </c>
      <c r="AD362" t="s">
        <v>40</v>
      </c>
      <c r="AE362" t="s">
        <v>40</v>
      </c>
      <c r="AF362" t="s">
        <v>1305</v>
      </c>
      <c r="AG362" t="s">
        <v>40</v>
      </c>
      <c r="AH362" t="s">
        <v>40</v>
      </c>
      <c r="AI362" t="s">
        <v>40</v>
      </c>
      <c r="AJ362" t="s">
        <v>46</v>
      </c>
      <c r="AK362" t="s">
        <v>419</v>
      </c>
      <c r="AL362" t="s">
        <v>420</v>
      </c>
      <c r="AM362" t="s">
        <v>421</v>
      </c>
    </row>
    <row r="363" spans="1:39" x14ac:dyDescent="0.2">
      <c r="A363" s="4" t="s">
        <v>1308</v>
      </c>
      <c r="B363" s="4" t="s">
        <v>1309</v>
      </c>
      <c r="C363" s="4" t="s">
        <v>40</v>
      </c>
      <c r="D363" s="4" t="s">
        <v>40</v>
      </c>
      <c r="E363" s="4" t="s">
        <v>40</v>
      </c>
      <c r="F363" t="s">
        <v>40</v>
      </c>
      <c r="G363" t="s">
        <v>1308</v>
      </c>
      <c r="H363" t="s">
        <v>40</v>
      </c>
      <c r="I363" t="s">
        <v>40</v>
      </c>
      <c r="J363" t="s">
        <v>40</v>
      </c>
      <c r="K363" t="s">
        <v>40</v>
      </c>
      <c r="L363" t="s">
        <v>40</v>
      </c>
      <c r="M363">
        <v>0</v>
      </c>
      <c r="N363">
        <v>0</v>
      </c>
      <c r="O363">
        <v>1</v>
      </c>
      <c r="P363">
        <v>0</v>
      </c>
      <c r="Q363" t="s">
        <v>77</v>
      </c>
      <c r="R363" t="b">
        <v>0</v>
      </c>
      <c r="S363" t="s">
        <v>40</v>
      </c>
      <c r="T363">
        <v>45342</v>
      </c>
      <c r="U363" t="s">
        <v>1163</v>
      </c>
      <c r="V363" s="2">
        <v>45558.477546284907</v>
      </c>
      <c r="W363" t="s">
        <v>40</v>
      </c>
      <c r="X363">
        <v>0</v>
      </c>
      <c r="Y363" t="s">
        <v>40</v>
      </c>
      <c r="Z363" t="s">
        <v>40</v>
      </c>
      <c r="AA363" t="s">
        <v>40</v>
      </c>
      <c r="AB363">
        <v>0</v>
      </c>
      <c r="AC363" t="s">
        <v>49</v>
      </c>
      <c r="AD363" t="s">
        <v>40</v>
      </c>
      <c r="AE363" t="s">
        <v>40</v>
      </c>
      <c r="AF363" t="s">
        <v>40</v>
      </c>
      <c r="AG363" t="s">
        <v>40</v>
      </c>
      <c r="AH363" t="s">
        <v>40</v>
      </c>
      <c r="AI363" t="s">
        <v>40</v>
      </c>
      <c r="AJ363" t="s">
        <v>40</v>
      </c>
      <c r="AK363" t="s">
        <v>40</v>
      </c>
      <c r="AL363" t="s">
        <v>40</v>
      </c>
      <c r="AM363" t="s">
        <v>40</v>
      </c>
    </row>
    <row r="364" spans="1:39" x14ac:dyDescent="0.2">
      <c r="A364" s="4" t="s">
        <v>1310</v>
      </c>
      <c r="B364" s="4" t="s">
        <v>1677</v>
      </c>
      <c r="C364" s="4" t="s">
        <v>40</v>
      </c>
      <c r="D364" s="4" t="s">
        <v>40</v>
      </c>
      <c r="E364" s="4" t="s">
        <v>40</v>
      </c>
      <c r="F364" t="s">
        <v>40</v>
      </c>
      <c r="G364" t="s">
        <v>1312</v>
      </c>
      <c r="H364" t="s">
        <v>1313</v>
      </c>
      <c r="I364" t="s">
        <v>40</v>
      </c>
      <c r="J364" t="s">
        <v>40</v>
      </c>
      <c r="K364" t="s">
        <v>40</v>
      </c>
      <c r="L364" t="s">
        <v>40</v>
      </c>
      <c r="M364">
        <v>0</v>
      </c>
      <c r="N364">
        <v>0</v>
      </c>
      <c r="O364">
        <v>1</v>
      </c>
      <c r="P364">
        <v>0</v>
      </c>
      <c r="Q364" t="s">
        <v>77</v>
      </c>
      <c r="R364" t="b">
        <v>0</v>
      </c>
      <c r="S364" t="s">
        <v>40</v>
      </c>
      <c r="T364" s="1" t="s">
        <v>49</v>
      </c>
      <c r="U364" t="s">
        <v>1163</v>
      </c>
      <c r="V364" s="2">
        <v>45560.600335648283</v>
      </c>
      <c r="W364" t="s">
        <v>40</v>
      </c>
      <c r="X364">
        <v>0</v>
      </c>
      <c r="Y364" t="s">
        <v>40</v>
      </c>
      <c r="Z364" t="s">
        <v>40</v>
      </c>
      <c r="AA364" t="s">
        <v>40</v>
      </c>
      <c r="AB364">
        <v>0</v>
      </c>
      <c r="AC364" t="s">
        <v>49</v>
      </c>
      <c r="AD364" t="s">
        <v>40</v>
      </c>
      <c r="AE364" t="s">
        <v>40</v>
      </c>
      <c r="AF364" t="s">
        <v>1311</v>
      </c>
      <c r="AG364" t="s">
        <v>40</v>
      </c>
      <c r="AH364" t="s">
        <v>40</v>
      </c>
      <c r="AI364" t="s">
        <v>40</v>
      </c>
      <c r="AJ364" t="s">
        <v>40</v>
      </c>
      <c r="AK364" t="s">
        <v>40</v>
      </c>
      <c r="AL364" t="s">
        <v>40</v>
      </c>
      <c r="AM364" t="s">
        <v>40</v>
      </c>
    </row>
    <row r="365" spans="1:39" x14ac:dyDescent="0.2">
      <c r="A365" s="4" t="s">
        <v>1314</v>
      </c>
      <c r="B365" s="4" t="s">
        <v>1315</v>
      </c>
      <c r="C365" s="4" t="s">
        <v>40</v>
      </c>
      <c r="D365" s="4" t="s">
        <v>40</v>
      </c>
      <c r="E365" s="4" t="s">
        <v>40</v>
      </c>
      <c r="F365" t="s">
        <v>40</v>
      </c>
      <c r="G365" t="s">
        <v>1314</v>
      </c>
      <c r="H365" t="s">
        <v>40</v>
      </c>
      <c r="I365" t="s">
        <v>40</v>
      </c>
      <c r="J365" t="s">
        <v>40</v>
      </c>
      <c r="K365" t="s">
        <v>40</v>
      </c>
      <c r="L365" t="s">
        <v>40</v>
      </c>
      <c r="M365">
        <v>0</v>
      </c>
      <c r="N365">
        <v>0</v>
      </c>
      <c r="O365">
        <v>1</v>
      </c>
      <c r="P365">
        <v>0</v>
      </c>
      <c r="Q365" t="s">
        <v>77</v>
      </c>
      <c r="R365" t="b">
        <v>0</v>
      </c>
      <c r="S365" t="s">
        <v>40</v>
      </c>
      <c r="T365" s="1">
        <v>45357</v>
      </c>
      <c r="U365" t="s">
        <v>1163</v>
      </c>
      <c r="V365" s="2">
        <v>45560.652106481604</v>
      </c>
      <c r="W365" t="s">
        <v>40</v>
      </c>
      <c r="X365">
        <v>0</v>
      </c>
      <c r="Y365" t="s">
        <v>40</v>
      </c>
      <c r="Z365" t="s">
        <v>40</v>
      </c>
      <c r="AA365" t="s">
        <v>40</v>
      </c>
      <c r="AB365">
        <v>0</v>
      </c>
      <c r="AC365" t="s">
        <v>49</v>
      </c>
      <c r="AD365" t="s">
        <v>40</v>
      </c>
      <c r="AE365" t="s">
        <v>40</v>
      </c>
      <c r="AF365" t="s">
        <v>40</v>
      </c>
      <c r="AG365" t="s">
        <v>40</v>
      </c>
      <c r="AH365" t="s">
        <v>40</v>
      </c>
      <c r="AI365" t="s">
        <v>40</v>
      </c>
      <c r="AJ365" t="s">
        <v>40</v>
      </c>
      <c r="AK365" t="s">
        <v>40</v>
      </c>
      <c r="AL365" t="s">
        <v>40</v>
      </c>
      <c r="AM365" t="s">
        <v>40</v>
      </c>
    </row>
    <row r="366" spans="1:39" x14ac:dyDescent="0.2">
      <c r="A366" s="4" t="s">
        <v>1316</v>
      </c>
      <c r="B366" s="4" t="s">
        <v>1678</v>
      </c>
      <c r="C366" s="4" t="s">
        <v>1790</v>
      </c>
      <c r="D366" s="4" t="s">
        <v>40</v>
      </c>
      <c r="E366" s="4" t="s">
        <v>40</v>
      </c>
      <c r="F366" t="s">
        <v>40</v>
      </c>
      <c r="G366" t="s">
        <v>1318</v>
      </c>
      <c r="H366" t="s">
        <v>40</v>
      </c>
      <c r="I366" t="s">
        <v>40</v>
      </c>
      <c r="J366" t="s">
        <v>40</v>
      </c>
      <c r="K366" t="s">
        <v>40</v>
      </c>
      <c r="L366" t="s">
        <v>40</v>
      </c>
      <c r="M366">
        <v>213.16</v>
      </c>
      <c r="N366">
        <v>0</v>
      </c>
      <c r="O366">
        <v>1</v>
      </c>
      <c r="P366">
        <v>0</v>
      </c>
      <c r="Q366" t="s">
        <v>77</v>
      </c>
      <c r="R366" t="b">
        <v>0</v>
      </c>
      <c r="S366" t="s">
        <v>40</v>
      </c>
      <c r="T366" s="1" t="s">
        <v>49</v>
      </c>
      <c r="U366" t="s">
        <v>1163</v>
      </c>
      <c r="V366">
        <v>45562.569745359011</v>
      </c>
      <c r="W366" t="s">
        <v>1319</v>
      </c>
      <c r="X366">
        <v>0</v>
      </c>
      <c r="Y366" t="s">
        <v>40</v>
      </c>
      <c r="Z366" t="s">
        <v>40</v>
      </c>
      <c r="AA366" t="s">
        <v>40</v>
      </c>
      <c r="AB366">
        <v>0</v>
      </c>
      <c r="AC366" t="s">
        <v>49</v>
      </c>
      <c r="AD366" t="s">
        <v>40</v>
      </c>
      <c r="AE366" t="s">
        <v>40</v>
      </c>
      <c r="AF366" t="s">
        <v>1317</v>
      </c>
      <c r="AG366" t="s">
        <v>40</v>
      </c>
      <c r="AH366" t="s">
        <v>40</v>
      </c>
      <c r="AI366" t="s">
        <v>40</v>
      </c>
      <c r="AJ366" t="s">
        <v>40</v>
      </c>
      <c r="AK366" t="s">
        <v>40</v>
      </c>
      <c r="AL366" t="s">
        <v>40</v>
      </c>
      <c r="AM366" t="s">
        <v>40</v>
      </c>
    </row>
    <row r="367" spans="1:39" x14ac:dyDescent="0.2">
      <c r="A367" s="4" t="s">
        <v>1320</v>
      </c>
      <c r="B367" s="4" t="s">
        <v>1679</v>
      </c>
      <c r="C367" s="4" t="s">
        <v>1791</v>
      </c>
      <c r="D367" s="4" t="s">
        <v>40</v>
      </c>
      <c r="E367" s="4" t="s">
        <v>40</v>
      </c>
      <c r="F367" t="s">
        <v>40</v>
      </c>
      <c r="G367" t="s">
        <v>1322</v>
      </c>
      <c r="H367" t="s">
        <v>40</v>
      </c>
      <c r="I367" t="s">
        <v>40</v>
      </c>
      <c r="J367" t="s">
        <v>40</v>
      </c>
      <c r="K367" t="s">
        <v>40</v>
      </c>
      <c r="L367" t="s">
        <v>40</v>
      </c>
      <c r="M367">
        <v>0</v>
      </c>
      <c r="N367">
        <v>0</v>
      </c>
      <c r="O367">
        <v>1</v>
      </c>
      <c r="P367">
        <v>0</v>
      </c>
      <c r="Q367" t="s">
        <v>77</v>
      </c>
      <c r="R367" t="b">
        <v>0</v>
      </c>
      <c r="S367" t="s">
        <v>40</v>
      </c>
      <c r="T367" s="1" t="s">
        <v>49</v>
      </c>
      <c r="U367" t="s">
        <v>1163</v>
      </c>
      <c r="V367" s="2">
        <v>45566.486076388974</v>
      </c>
      <c r="W367" t="s">
        <v>1323</v>
      </c>
      <c r="X367">
        <v>0</v>
      </c>
      <c r="Y367" t="s">
        <v>40</v>
      </c>
      <c r="Z367" t="s">
        <v>40</v>
      </c>
      <c r="AA367" t="s">
        <v>40</v>
      </c>
      <c r="AB367">
        <v>0</v>
      </c>
      <c r="AC367" t="s">
        <v>49</v>
      </c>
      <c r="AD367" t="s">
        <v>40</v>
      </c>
      <c r="AE367" t="s">
        <v>40</v>
      </c>
      <c r="AF367" t="s">
        <v>1321</v>
      </c>
      <c r="AG367" t="s">
        <v>40</v>
      </c>
      <c r="AH367" t="s">
        <v>40</v>
      </c>
      <c r="AI367" t="s">
        <v>40</v>
      </c>
      <c r="AJ367" t="s">
        <v>40</v>
      </c>
      <c r="AK367" t="s">
        <v>40</v>
      </c>
      <c r="AL367" t="s">
        <v>40</v>
      </c>
      <c r="AM367" t="s">
        <v>40</v>
      </c>
    </row>
    <row r="368" spans="1:39" x14ac:dyDescent="0.2">
      <c r="A368" s="4" t="s">
        <v>1324</v>
      </c>
      <c r="B368" s="4" t="s">
        <v>1680</v>
      </c>
      <c r="C368" s="4" t="s">
        <v>1792</v>
      </c>
      <c r="D368" s="4" t="s">
        <v>40</v>
      </c>
      <c r="E368" s="4" t="s">
        <v>40</v>
      </c>
      <c r="F368" t="s">
        <v>40</v>
      </c>
      <c r="G368" t="s">
        <v>1326</v>
      </c>
      <c r="H368" t="s">
        <v>40</v>
      </c>
      <c r="I368" t="s">
        <v>40</v>
      </c>
      <c r="J368" t="s">
        <v>40</v>
      </c>
      <c r="K368" t="s">
        <v>40</v>
      </c>
      <c r="L368" t="s">
        <v>40</v>
      </c>
      <c r="M368">
        <v>0</v>
      </c>
      <c r="N368">
        <v>0</v>
      </c>
      <c r="O368">
        <v>1</v>
      </c>
      <c r="P368">
        <v>0</v>
      </c>
      <c r="Q368" t="s">
        <v>77</v>
      </c>
      <c r="R368" t="b">
        <v>0</v>
      </c>
      <c r="S368" t="s">
        <v>40</v>
      </c>
      <c r="T368" s="1" t="s">
        <v>49</v>
      </c>
      <c r="U368" t="s">
        <v>1163</v>
      </c>
      <c r="V368" s="2">
        <v>45566.507673599757</v>
      </c>
      <c r="W368" t="s">
        <v>1327</v>
      </c>
      <c r="X368">
        <v>0</v>
      </c>
      <c r="Y368" t="s">
        <v>40</v>
      </c>
      <c r="Z368" t="s">
        <v>40</v>
      </c>
      <c r="AA368" t="s">
        <v>40</v>
      </c>
      <c r="AB368">
        <v>0</v>
      </c>
      <c r="AC368" t="s">
        <v>49</v>
      </c>
      <c r="AD368" t="s">
        <v>40</v>
      </c>
      <c r="AE368" t="s">
        <v>40</v>
      </c>
      <c r="AF368" t="s">
        <v>1325</v>
      </c>
      <c r="AG368" t="s">
        <v>40</v>
      </c>
      <c r="AH368" t="s">
        <v>40</v>
      </c>
      <c r="AI368" t="s">
        <v>40</v>
      </c>
      <c r="AJ368" t="s">
        <v>40</v>
      </c>
      <c r="AK368" t="s">
        <v>40</v>
      </c>
      <c r="AL368" t="s">
        <v>40</v>
      </c>
      <c r="AM368" t="s">
        <v>40</v>
      </c>
    </row>
    <row r="369" spans="1:39" x14ac:dyDescent="0.2">
      <c r="A369" s="4" t="s">
        <v>1328</v>
      </c>
      <c r="B369" s="4" t="s">
        <v>1329</v>
      </c>
      <c r="C369" s="4" t="s">
        <v>40</v>
      </c>
      <c r="D369" s="4" t="s">
        <v>40</v>
      </c>
      <c r="E369" s="4" t="s">
        <v>40</v>
      </c>
      <c r="F369" t="s">
        <v>40</v>
      </c>
      <c r="G369" t="s">
        <v>1328</v>
      </c>
      <c r="H369" t="s">
        <v>40</v>
      </c>
      <c r="I369" t="s">
        <v>40</v>
      </c>
      <c r="J369" t="s">
        <v>40</v>
      </c>
      <c r="K369" t="s">
        <v>40</v>
      </c>
      <c r="L369" t="s">
        <v>40</v>
      </c>
      <c r="M369">
        <v>14.700000000000001</v>
      </c>
      <c r="N369">
        <v>0</v>
      </c>
      <c r="O369">
        <v>1</v>
      </c>
      <c r="P369">
        <v>0</v>
      </c>
      <c r="Q369" t="s">
        <v>77</v>
      </c>
      <c r="R369" t="b">
        <v>0</v>
      </c>
      <c r="S369" t="s">
        <v>40</v>
      </c>
      <c r="T369" s="1" t="s">
        <v>49</v>
      </c>
      <c r="U369" t="s">
        <v>1163</v>
      </c>
      <c r="V369" s="2">
        <v>45566.596273136791</v>
      </c>
      <c r="W369" t="s">
        <v>40</v>
      </c>
      <c r="X369">
        <v>0</v>
      </c>
      <c r="Y369" t="s">
        <v>40</v>
      </c>
      <c r="Z369" t="s">
        <v>40</v>
      </c>
      <c r="AA369" t="s">
        <v>40</v>
      </c>
      <c r="AB369">
        <v>0</v>
      </c>
      <c r="AC369" t="s">
        <v>49</v>
      </c>
      <c r="AD369" t="s">
        <v>40</v>
      </c>
      <c r="AE369" t="s">
        <v>40</v>
      </c>
      <c r="AF369" t="s">
        <v>1329</v>
      </c>
      <c r="AG369" t="s">
        <v>40</v>
      </c>
      <c r="AH369" t="s">
        <v>40</v>
      </c>
      <c r="AI369" t="s">
        <v>40</v>
      </c>
      <c r="AJ369" t="s">
        <v>40</v>
      </c>
      <c r="AK369" t="s">
        <v>40</v>
      </c>
      <c r="AL369" t="s">
        <v>40</v>
      </c>
      <c r="AM369" t="s">
        <v>40</v>
      </c>
    </row>
    <row r="370" spans="1:39" x14ac:dyDescent="0.2">
      <c r="A370" s="4" t="s">
        <v>1330</v>
      </c>
      <c r="B370" s="4" t="s">
        <v>1331</v>
      </c>
      <c r="C370" s="4" t="s">
        <v>1793</v>
      </c>
      <c r="D370" s="4" t="s">
        <v>40</v>
      </c>
      <c r="E370" s="4" t="s">
        <v>40</v>
      </c>
      <c r="F370" t="s">
        <v>40</v>
      </c>
      <c r="G370" t="s">
        <v>1332</v>
      </c>
      <c r="H370" t="s">
        <v>40</v>
      </c>
      <c r="I370" t="s">
        <v>40</v>
      </c>
      <c r="J370" t="s">
        <v>40</v>
      </c>
      <c r="K370" t="s">
        <v>40</v>
      </c>
      <c r="L370" t="s">
        <v>40</v>
      </c>
      <c r="M370">
        <v>0</v>
      </c>
      <c r="N370">
        <v>0</v>
      </c>
      <c r="O370">
        <v>1</v>
      </c>
      <c r="P370">
        <v>0</v>
      </c>
      <c r="Q370" t="s">
        <v>77</v>
      </c>
      <c r="R370" t="b">
        <v>0</v>
      </c>
      <c r="S370" t="s">
        <v>40</v>
      </c>
      <c r="T370" s="1" t="s">
        <v>49</v>
      </c>
      <c r="U370" t="s">
        <v>1163</v>
      </c>
      <c r="V370" s="2">
        <v>45568.631724525243</v>
      </c>
      <c r="W370" t="s">
        <v>1333</v>
      </c>
      <c r="X370">
        <v>0</v>
      </c>
      <c r="Y370" t="s">
        <v>40</v>
      </c>
      <c r="Z370" t="s">
        <v>40</v>
      </c>
      <c r="AA370" t="s">
        <v>40</v>
      </c>
      <c r="AB370">
        <v>0</v>
      </c>
      <c r="AC370" t="s">
        <v>49</v>
      </c>
      <c r="AD370" t="s">
        <v>40</v>
      </c>
      <c r="AE370" t="s">
        <v>40</v>
      </c>
      <c r="AF370" t="s">
        <v>1331</v>
      </c>
      <c r="AG370" t="s">
        <v>40</v>
      </c>
      <c r="AH370" t="s">
        <v>40</v>
      </c>
      <c r="AI370" t="s">
        <v>40</v>
      </c>
      <c r="AJ370" t="s">
        <v>40</v>
      </c>
      <c r="AK370" t="s">
        <v>40</v>
      </c>
      <c r="AL370" t="s">
        <v>40</v>
      </c>
      <c r="AM370" t="s">
        <v>40</v>
      </c>
    </row>
    <row r="371" spans="1:39" x14ac:dyDescent="0.2">
      <c r="A371" s="7" t="s">
        <v>1334</v>
      </c>
      <c r="B371" s="4" t="s">
        <v>1335</v>
      </c>
      <c r="C371" s="4" t="s">
        <v>40</v>
      </c>
      <c r="D371" s="4" t="s">
        <v>40</v>
      </c>
      <c r="E371" s="4" t="s">
        <v>40</v>
      </c>
      <c r="F371" t="s">
        <v>40</v>
      </c>
      <c r="G371" t="s">
        <v>1334</v>
      </c>
      <c r="H371" t="s">
        <v>40</v>
      </c>
      <c r="I371" t="s">
        <v>40</v>
      </c>
      <c r="J371" t="s">
        <v>40</v>
      </c>
      <c r="K371" t="s">
        <v>40</v>
      </c>
      <c r="L371" t="s">
        <v>40</v>
      </c>
      <c r="M371">
        <v>6</v>
      </c>
      <c r="N371">
        <v>0</v>
      </c>
      <c r="O371">
        <v>1</v>
      </c>
      <c r="P371">
        <v>0</v>
      </c>
      <c r="Q371" t="s">
        <v>77</v>
      </c>
      <c r="R371" t="b">
        <v>0</v>
      </c>
      <c r="S371" t="s">
        <v>40</v>
      </c>
      <c r="T371" s="1" t="s">
        <v>49</v>
      </c>
      <c r="U371" t="s">
        <v>1163</v>
      </c>
      <c r="V371" s="2">
        <v>45576.585729166865</v>
      </c>
      <c r="W371" t="s">
        <v>40</v>
      </c>
      <c r="X371">
        <v>0</v>
      </c>
      <c r="Y371" t="s">
        <v>40</v>
      </c>
      <c r="Z371" t="s">
        <v>40</v>
      </c>
      <c r="AA371" t="s">
        <v>40</v>
      </c>
      <c r="AB371">
        <v>0</v>
      </c>
      <c r="AC371" t="s">
        <v>49</v>
      </c>
      <c r="AD371" t="s">
        <v>40</v>
      </c>
      <c r="AE371" t="s">
        <v>40</v>
      </c>
      <c r="AF371" t="s">
        <v>1335</v>
      </c>
      <c r="AG371" t="s">
        <v>40</v>
      </c>
      <c r="AH371" t="s">
        <v>40</v>
      </c>
      <c r="AI371" t="s">
        <v>40</v>
      </c>
      <c r="AJ371" t="s">
        <v>40</v>
      </c>
      <c r="AK371" t="s">
        <v>40</v>
      </c>
      <c r="AL371" t="s">
        <v>40</v>
      </c>
      <c r="AM371" t="s">
        <v>40</v>
      </c>
    </row>
    <row r="372" spans="1:39" x14ac:dyDescent="0.2">
      <c r="A372" s="4" t="s">
        <v>1336</v>
      </c>
      <c r="B372" s="4" t="s">
        <v>1337</v>
      </c>
      <c r="C372" s="4" t="s">
        <v>1794</v>
      </c>
      <c r="D372" s="4" t="s">
        <v>40</v>
      </c>
      <c r="E372" s="4" t="s">
        <v>40</v>
      </c>
      <c r="F372" t="s">
        <v>40</v>
      </c>
      <c r="G372" t="s">
        <v>1338</v>
      </c>
      <c r="H372" t="s">
        <v>1339</v>
      </c>
      <c r="I372" t="s">
        <v>40</v>
      </c>
      <c r="J372" t="s">
        <v>40</v>
      </c>
      <c r="K372" t="s">
        <v>40</v>
      </c>
      <c r="L372" t="s">
        <v>40</v>
      </c>
      <c r="M372">
        <v>0</v>
      </c>
      <c r="N372">
        <v>0</v>
      </c>
      <c r="O372">
        <v>1</v>
      </c>
      <c r="P372">
        <v>0</v>
      </c>
      <c r="Q372" t="s">
        <v>77</v>
      </c>
      <c r="R372" t="b">
        <v>0</v>
      </c>
      <c r="S372" t="s">
        <v>40</v>
      </c>
      <c r="T372" t="s">
        <v>49</v>
      </c>
      <c r="U372" t="s">
        <v>1163</v>
      </c>
      <c r="V372" s="2">
        <v>45583.575393506791</v>
      </c>
      <c r="W372" t="s">
        <v>40</v>
      </c>
      <c r="X372">
        <v>0</v>
      </c>
      <c r="Y372" t="s">
        <v>40</v>
      </c>
      <c r="Z372" t="s">
        <v>40</v>
      </c>
      <c r="AA372" t="s">
        <v>40</v>
      </c>
      <c r="AB372">
        <v>0</v>
      </c>
      <c r="AC372" t="s">
        <v>49</v>
      </c>
      <c r="AD372" t="s">
        <v>40</v>
      </c>
      <c r="AE372" t="s">
        <v>40</v>
      </c>
      <c r="AF372" t="s">
        <v>1337</v>
      </c>
      <c r="AG372" t="s">
        <v>40</v>
      </c>
      <c r="AH372" t="s">
        <v>40</v>
      </c>
      <c r="AI372" t="s">
        <v>40</v>
      </c>
      <c r="AJ372" t="s">
        <v>40</v>
      </c>
      <c r="AK372" t="s">
        <v>40</v>
      </c>
      <c r="AL372" t="s">
        <v>40</v>
      </c>
      <c r="AM372" t="s">
        <v>40</v>
      </c>
    </row>
    <row r="373" spans="1:39" x14ac:dyDescent="0.2">
      <c r="A373" s="4" t="s">
        <v>1340</v>
      </c>
      <c r="B373" s="4" t="s">
        <v>1681</v>
      </c>
      <c r="C373" s="4" t="s">
        <v>1795</v>
      </c>
      <c r="D373" s="4" t="s">
        <v>40</v>
      </c>
      <c r="E373" s="4" t="s">
        <v>40</v>
      </c>
      <c r="F373" t="s">
        <v>40</v>
      </c>
      <c r="G373" t="s">
        <v>1341</v>
      </c>
      <c r="H373" t="s">
        <v>1342</v>
      </c>
      <c r="I373" t="s">
        <v>40</v>
      </c>
      <c r="J373" t="s">
        <v>40</v>
      </c>
      <c r="K373" t="s">
        <v>40</v>
      </c>
      <c r="L373" t="s">
        <v>40</v>
      </c>
      <c r="M373">
        <v>0</v>
      </c>
      <c r="N373">
        <v>0</v>
      </c>
      <c r="O373">
        <v>1</v>
      </c>
      <c r="P373">
        <v>0</v>
      </c>
      <c r="Q373" t="s">
        <v>77</v>
      </c>
      <c r="R373" t="b">
        <v>0</v>
      </c>
      <c r="S373" t="s">
        <v>40</v>
      </c>
      <c r="T373" s="1" t="s">
        <v>49</v>
      </c>
      <c r="U373" t="s">
        <v>1163</v>
      </c>
      <c r="V373" s="2">
        <v>45590.427662025671</v>
      </c>
      <c r="W373" t="s">
        <v>40</v>
      </c>
      <c r="X373">
        <v>0</v>
      </c>
      <c r="Y373" t="s">
        <v>40</v>
      </c>
      <c r="Z373" t="s">
        <v>40</v>
      </c>
      <c r="AA373" t="s">
        <v>40</v>
      </c>
      <c r="AB373">
        <v>0</v>
      </c>
      <c r="AC373" t="s">
        <v>49</v>
      </c>
      <c r="AD373" t="s">
        <v>40</v>
      </c>
      <c r="AE373" t="s">
        <v>40</v>
      </c>
      <c r="AF373" t="s">
        <v>1343</v>
      </c>
      <c r="AG373" t="s">
        <v>40</v>
      </c>
      <c r="AH373" t="s">
        <v>40</v>
      </c>
      <c r="AI373" t="s">
        <v>40</v>
      </c>
      <c r="AJ373" t="s">
        <v>40</v>
      </c>
      <c r="AK373" t="s">
        <v>40</v>
      </c>
      <c r="AL373" t="s">
        <v>40</v>
      </c>
      <c r="AM373" t="s">
        <v>40</v>
      </c>
    </row>
    <row r="374" spans="1:39" x14ac:dyDescent="0.2">
      <c r="A374" s="4" t="s">
        <v>1344</v>
      </c>
      <c r="B374" s="4" t="s">
        <v>1345</v>
      </c>
      <c r="C374" s="4" t="s">
        <v>40</v>
      </c>
      <c r="D374" s="4" t="s">
        <v>40</v>
      </c>
      <c r="E374" s="4" t="s">
        <v>40</v>
      </c>
      <c r="F374" t="s">
        <v>40</v>
      </c>
      <c r="G374" t="s">
        <v>1344</v>
      </c>
      <c r="H374" t="s">
        <v>40</v>
      </c>
      <c r="I374" t="s">
        <v>40</v>
      </c>
      <c r="J374" t="s">
        <v>40</v>
      </c>
      <c r="K374" t="s">
        <v>40</v>
      </c>
      <c r="L374" t="s">
        <v>40</v>
      </c>
      <c r="M374">
        <v>12.25</v>
      </c>
      <c r="N374">
        <v>0</v>
      </c>
      <c r="O374">
        <v>1</v>
      </c>
      <c r="P374">
        <v>0</v>
      </c>
      <c r="Q374" t="s">
        <v>77</v>
      </c>
      <c r="R374" t="b">
        <v>0</v>
      </c>
      <c r="S374" t="s">
        <v>40</v>
      </c>
      <c r="T374" t="s">
        <v>49</v>
      </c>
      <c r="U374" t="s">
        <v>1163</v>
      </c>
      <c r="V374" s="2">
        <v>45601.397789340466</v>
      </c>
      <c r="W374" t="s">
        <v>40</v>
      </c>
      <c r="X374">
        <v>0</v>
      </c>
      <c r="Y374" t="s">
        <v>40</v>
      </c>
      <c r="Z374" t="s">
        <v>40</v>
      </c>
      <c r="AA374" t="s">
        <v>40</v>
      </c>
      <c r="AB374">
        <v>0</v>
      </c>
      <c r="AC374" t="s">
        <v>49</v>
      </c>
      <c r="AD374" t="s">
        <v>40</v>
      </c>
      <c r="AE374" t="s">
        <v>40</v>
      </c>
      <c r="AF374" t="s">
        <v>1345</v>
      </c>
      <c r="AG374" t="s">
        <v>40</v>
      </c>
      <c r="AH374" t="s">
        <v>40</v>
      </c>
      <c r="AI374" t="s">
        <v>40</v>
      </c>
      <c r="AJ374" t="s">
        <v>40</v>
      </c>
      <c r="AK374" t="s">
        <v>40</v>
      </c>
      <c r="AL374" t="s">
        <v>40</v>
      </c>
      <c r="AM374" t="s">
        <v>40</v>
      </c>
    </row>
    <row r="375" spans="1:39" x14ac:dyDescent="0.2">
      <c r="A375" s="4" t="s">
        <v>1346</v>
      </c>
      <c r="B375" s="4" t="s">
        <v>1347</v>
      </c>
      <c r="C375" s="4" t="s">
        <v>40</v>
      </c>
      <c r="D375" s="4" t="s">
        <v>40</v>
      </c>
      <c r="E375" s="4" t="s">
        <v>40</v>
      </c>
      <c r="F375" t="s">
        <v>40</v>
      </c>
      <c r="G375" t="s">
        <v>1346</v>
      </c>
      <c r="H375" t="s">
        <v>40</v>
      </c>
      <c r="I375" t="s">
        <v>40</v>
      </c>
      <c r="J375" t="s">
        <v>40</v>
      </c>
      <c r="K375" t="s">
        <v>40</v>
      </c>
      <c r="L375" t="s">
        <v>40</v>
      </c>
      <c r="M375">
        <v>0</v>
      </c>
      <c r="N375">
        <v>0</v>
      </c>
      <c r="O375">
        <v>1</v>
      </c>
      <c r="P375">
        <v>0</v>
      </c>
      <c r="Q375" t="s">
        <v>77</v>
      </c>
      <c r="R375" t="b">
        <v>0</v>
      </c>
      <c r="S375" t="s">
        <v>40</v>
      </c>
      <c r="T375" s="1" t="s">
        <v>49</v>
      </c>
      <c r="U375" t="s">
        <v>1163</v>
      </c>
      <c r="V375" s="2">
        <v>45601.469803228974</v>
      </c>
      <c r="W375" t="s">
        <v>40</v>
      </c>
      <c r="X375">
        <v>0</v>
      </c>
      <c r="Y375" t="s">
        <v>40</v>
      </c>
      <c r="Z375" t="s">
        <v>40</v>
      </c>
      <c r="AA375" t="s">
        <v>40</v>
      </c>
      <c r="AB375">
        <v>0</v>
      </c>
      <c r="AC375" t="s">
        <v>49</v>
      </c>
      <c r="AD375" t="s">
        <v>40</v>
      </c>
      <c r="AE375" t="s">
        <v>40</v>
      </c>
      <c r="AF375" t="s">
        <v>1347</v>
      </c>
      <c r="AG375" t="s">
        <v>40</v>
      </c>
      <c r="AH375" t="s">
        <v>40</v>
      </c>
      <c r="AI375" t="s">
        <v>40</v>
      </c>
      <c r="AJ375" t="s">
        <v>40</v>
      </c>
      <c r="AK375" t="s">
        <v>40</v>
      </c>
      <c r="AL375" t="s">
        <v>40</v>
      </c>
      <c r="AM375" t="s">
        <v>40</v>
      </c>
    </row>
    <row r="376" spans="1:39" x14ac:dyDescent="0.2">
      <c r="A376" s="4" t="s">
        <v>1498</v>
      </c>
      <c r="B376" s="4" t="s">
        <v>1682</v>
      </c>
      <c r="C376" s="4" t="s">
        <v>1796</v>
      </c>
      <c r="D376" s="4" t="s">
        <v>40</v>
      </c>
      <c r="E376" s="4" t="s">
        <v>40</v>
      </c>
      <c r="F376" t="s">
        <v>40</v>
      </c>
      <c r="G376" t="s">
        <v>1501</v>
      </c>
      <c r="H376" t="s">
        <v>1500</v>
      </c>
      <c r="I376" t="s">
        <v>40</v>
      </c>
      <c r="J376" t="s">
        <v>40</v>
      </c>
      <c r="K376" t="s">
        <v>40</v>
      </c>
      <c r="L376" t="s">
        <v>40</v>
      </c>
      <c r="M376">
        <v>1100.4000000000001</v>
      </c>
      <c r="N376">
        <v>0</v>
      </c>
      <c r="O376">
        <v>1</v>
      </c>
      <c r="P376">
        <v>0</v>
      </c>
      <c r="Q376" t="s">
        <v>1502</v>
      </c>
      <c r="R376" t="b">
        <v>0</v>
      </c>
      <c r="S376" t="s">
        <v>40</v>
      </c>
      <c r="T376" t="s">
        <v>49</v>
      </c>
      <c r="U376" t="s">
        <v>1163</v>
      </c>
      <c r="V376" s="2">
        <v>45635.621990740765</v>
      </c>
      <c r="W376" t="s">
        <v>40</v>
      </c>
      <c r="X376">
        <v>0</v>
      </c>
      <c r="Y376" t="s">
        <v>40</v>
      </c>
      <c r="Z376" t="s">
        <v>40</v>
      </c>
      <c r="AA376" t="s">
        <v>40</v>
      </c>
      <c r="AB376">
        <v>0</v>
      </c>
      <c r="AC376" t="s">
        <v>49</v>
      </c>
      <c r="AD376" t="s">
        <v>40</v>
      </c>
      <c r="AE376" t="s">
        <v>40</v>
      </c>
      <c r="AF376" t="s">
        <v>1499</v>
      </c>
      <c r="AG376" t="s">
        <v>40</v>
      </c>
      <c r="AH376" t="s">
        <v>40</v>
      </c>
      <c r="AI376" t="s">
        <v>40</v>
      </c>
      <c r="AJ376" t="s">
        <v>40</v>
      </c>
      <c r="AK376" t="s">
        <v>40</v>
      </c>
      <c r="AL376" t="s">
        <v>40</v>
      </c>
      <c r="AM376" t="s">
        <v>40</v>
      </c>
    </row>
    <row r="377" spans="1:39" x14ac:dyDescent="0.2">
      <c r="A377" s="4" t="s">
        <v>1503</v>
      </c>
      <c r="B377" s="4" t="s">
        <v>1683</v>
      </c>
      <c r="C377" s="4" t="s">
        <v>1797</v>
      </c>
      <c r="D377" s="4" t="s">
        <v>40</v>
      </c>
      <c r="E377" s="4" t="s">
        <v>40</v>
      </c>
      <c r="F377" t="s">
        <v>40</v>
      </c>
      <c r="G377" t="s">
        <v>1506</v>
      </c>
      <c r="H377" t="s">
        <v>1505</v>
      </c>
      <c r="I377" t="s">
        <v>40</v>
      </c>
      <c r="J377" t="s">
        <v>40</v>
      </c>
      <c r="K377" t="s">
        <v>40</v>
      </c>
      <c r="L377" t="s">
        <v>40</v>
      </c>
      <c r="M377">
        <v>0</v>
      </c>
      <c r="N377">
        <v>0</v>
      </c>
      <c r="O377">
        <v>1</v>
      </c>
      <c r="P377">
        <v>0</v>
      </c>
      <c r="Q377" t="s">
        <v>77</v>
      </c>
      <c r="R377" t="b">
        <v>0</v>
      </c>
      <c r="S377" t="s">
        <v>40</v>
      </c>
      <c r="T377" t="s">
        <v>49</v>
      </c>
      <c r="U377" t="s">
        <v>1163</v>
      </c>
      <c r="V377" s="2">
        <v>45635.628495370504</v>
      </c>
      <c r="W377" t="s">
        <v>40</v>
      </c>
      <c r="X377">
        <v>0</v>
      </c>
      <c r="Y377" t="s">
        <v>40</v>
      </c>
      <c r="Z377" t="s">
        <v>40</v>
      </c>
      <c r="AA377" t="s">
        <v>40</v>
      </c>
      <c r="AB377">
        <v>0</v>
      </c>
      <c r="AC377" t="s">
        <v>49</v>
      </c>
      <c r="AD377" t="s">
        <v>40</v>
      </c>
      <c r="AE377" t="s">
        <v>40</v>
      </c>
      <c r="AF377" t="s">
        <v>1504</v>
      </c>
      <c r="AG377" t="s">
        <v>40</v>
      </c>
      <c r="AH377" t="s">
        <v>40</v>
      </c>
      <c r="AI377" t="s">
        <v>40</v>
      </c>
      <c r="AJ377" t="s">
        <v>40</v>
      </c>
      <c r="AK377" t="s">
        <v>40</v>
      </c>
      <c r="AL377" t="s">
        <v>40</v>
      </c>
      <c r="AM377" t="s">
        <v>40</v>
      </c>
    </row>
    <row r="378" spans="1:39" x14ac:dyDescent="0.2">
      <c r="A378" s="4" t="s">
        <v>1507</v>
      </c>
      <c r="B378" s="4" t="s">
        <v>1508</v>
      </c>
      <c r="C378" s="4" t="s">
        <v>1798</v>
      </c>
      <c r="D378" s="4" t="s">
        <v>40</v>
      </c>
      <c r="E378" s="4" t="s">
        <v>40</v>
      </c>
      <c r="F378" t="s">
        <v>40</v>
      </c>
      <c r="G378" t="s">
        <v>1510</v>
      </c>
      <c r="H378" t="s">
        <v>1509</v>
      </c>
      <c r="I378" t="s">
        <v>40</v>
      </c>
      <c r="J378" t="s">
        <v>40</v>
      </c>
      <c r="K378" t="s">
        <v>40</v>
      </c>
      <c r="L378" t="s">
        <v>40</v>
      </c>
      <c r="M378">
        <v>0</v>
      </c>
      <c r="N378">
        <v>0</v>
      </c>
      <c r="O378">
        <v>1</v>
      </c>
      <c r="P378">
        <v>0</v>
      </c>
      <c r="Q378" t="s">
        <v>77</v>
      </c>
      <c r="R378" t="b">
        <v>0</v>
      </c>
      <c r="S378" t="s">
        <v>40</v>
      </c>
      <c r="T378" t="s">
        <v>49</v>
      </c>
      <c r="U378" t="s">
        <v>1163</v>
      </c>
      <c r="V378" s="2">
        <v>45635.644490729086</v>
      </c>
      <c r="W378" t="s">
        <v>40</v>
      </c>
      <c r="X378">
        <v>0</v>
      </c>
      <c r="Y378" t="s">
        <v>40</v>
      </c>
      <c r="Z378" t="s">
        <v>40</v>
      </c>
      <c r="AA378" t="s">
        <v>40</v>
      </c>
      <c r="AB378">
        <v>0</v>
      </c>
      <c r="AC378" t="s">
        <v>49</v>
      </c>
      <c r="AD378" t="s">
        <v>40</v>
      </c>
      <c r="AE378" t="s">
        <v>40</v>
      </c>
      <c r="AF378" t="s">
        <v>1508</v>
      </c>
      <c r="AG378" t="s">
        <v>40</v>
      </c>
      <c r="AH378" t="s">
        <v>40</v>
      </c>
      <c r="AI378" t="s">
        <v>40</v>
      </c>
      <c r="AJ378" t="s">
        <v>40</v>
      </c>
      <c r="AK378" t="s">
        <v>40</v>
      </c>
      <c r="AL378" t="s">
        <v>40</v>
      </c>
      <c r="AM378" t="s">
        <v>40</v>
      </c>
    </row>
    <row r="379" spans="1:39" x14ac:dyDescent="0.2">
      <c r="A379" s="4" t="s">
        <v>1511</v>
      </c>
      <c r="B379" s="4" t="s">
        <v>1684</v>
      </c>
      <c r="C379" s="4" t="s">
        <v>1514</v>
      </c>
      <c r="D379" s="4" t="s">
        <v>40</v>
      </c>
      <c r="E379" s="4" t="s">
        <v>40</v>
      </c>
      <c r="F379" t="s">
        <v>40</v>
      </c>
      <c r="G379" t="s">
        <v>1513</v>
      </c>
      <c r="H379" t="s">
        <v>40</v>
      </c>
      <c r="I379" t="s">
        <v>40</v>
      </c>
      <c r="J379" t="s">
        <v>40</v>
      </c>
      <c r="K379" t="s">
        <v>40</v>
      </c>
      <c r="L379" t="s">
        <v>40</v>
      </c>
      <c r="M379">
        <v>0</v>
      </c>
      <c r="N379">
        <v>0</v>
      </c>
      <c r="O379">
        <v>1</v>
      </c>
      <c r="P379">
        <v>0</v>
      </c>
      <c r="Q379" t="s">
        <v>77</v>
      </c>
      <c r="R379" t="b">
        <v>0</v>
      </c>
      <c r="S379" t="s">
        <v>40</v>
      </c>
      <c r="T379" t="s">
        <v>49</v>
      </c>
      <c r="U379" t="s">
        <v>1163</v>
      </c>
      <c r="V379" s="2">
        <v>45663.503472210839</v>
      </c>
      <c r="W379" t="s">
        <v>1515</v>
      </c>
      <c r="X379">
        <v>0</v>
      </c>
      <c r="Y379" t="s">
        <v>40</v>
      </c>
      <c r="Z379" t="s">
        <v>40</v>
      </c>
      <c r="AA379" t="s">
        <v>40</v>
      </c>
      <c r="AB379">
        <v>0</v>
      </c>
      <c r="AC379" t="s">
        <v>49</v>
      </c>
      <c r="AD379" t="s">
        <v>40</v>
      </c>
      <c r="AE379" t="s">
        <v>40</v>
      </c>
      <c r="AF379" t="s">
        <v>1512</v>
      </c>
      <c r="AG379" t="s">
        <v>40</v>
      </c>
      <c r="AH379" t="s">
        <v>40</v>
      </c>
      <c r="AI379" t="s">
        <v>40</v>
      </c>
      <c r="AJ379" t="s">
        <v>40</v>
      </c>
      <c r="AK379" t="s">
        <v>40</v>
      </c>
      <c r="AL379" t="s">
        <v>40</v>
      </c>
      <c r="AM379" t="s">
        <v>40</v>
      </c>
    </row>
    <row r="380" spans="1:39" x14ac:dyDescent="0.2">
      <c r="A380" s="4" t="s">
        <v>1516</v>
      </c>
      <c r="B380" s="4" t="s">
        <v>1685</v>
      </c>
      <c r="C380" s="4" t="s">
        <v>225</v>
      </c>
      <c r="D380" s="4" t="s">
        <v>40</v>
      </c>
      <c r="E380" s="4" t="s">
        <v>40</v>
      </c>
      <c r="F380" t="s">
        <v>40</v>
      </c>
      <c r="G380" t="s">
        <v>1519</v>
      </c>
      <c r="H380" t="s">
        <v>1518</v>
      </c>
      <c r="I380" t="s">
        <v>40</v>
      </c>
      <c r="J380" t="s">
        <v>40</v>
      </c>
      <c r="K380" t="s">
        <v>40</v>
      </c>
      <c r="L380" t="s">
        <v>40</v>
      </c>
      <c r="M380">
        <v>0</v>
      </c>
      <c r="N380">
        <v>0</v>
      </c>
      <c r="O380">
        <v>1</v>
      </c>
      <c r="P380">
        <v>0</v>
      </c>
      <c r="Q380" t="s">
        <v>77</v>
      </c>
      <c r="R380" t="b">
        <v>0</v>
      </c>
      <c r="S380" t="s">
        <v>40</v>
      </c>
      <c r="T380" t="s">
        <v>49</v>
      </c>
      <c r="U380" t="s">
        <v>1163</v>
      </c>
      <c r="V380" s="2">
        <v>45664.583425926045</v>
      </c>
      <c r="W380" t="s">
        <v>40</v>
      </c>
      <c r="X380">
        <v>0</v>
      </c>
      <c r="Y380" t="s">
        <v>40</v>
      </c>
      <c r="Z380" t="s">
        <v>40</v>
      </c>
      <c r="AA380" t="s">
        <v>40</v>
      </c>
      <c r="AB380">
        <v>0</v>
      </c>
      <c r="AC380" t="s">
        <v>49</v>
      </c>
      <c r="AD380" t="s">
        <v>40</v>
      </c>
      <c r="AE380" t="s">
        <v>40</v>
      </c>
      <c r="AF380" t="s">
        <v>1517</v>
      </c>
      <c r="AG380" t="s">
        <v>40</v>
      </c>
      <c r="AH380" t="s">
        <v>40</v>
      </c>
      <c r="AI380" t="s">
        <v>40</v>
      </c>
      <c r="AJ380" t="s">
        <v>40</v>
      </c>
      <c r="AK380" t="s">
        <v>40</v>
      </c>
      <c r="AL380" t="s">
        <v>40</v>
      </c>
      <c r="AM380" t="s">
        <v>40</v>
      </c>
    </row>
    <row r="381" spans="1:39" x14ac:dyDescent="0.2">
      <c r="A381" s="4" t="s">
        <v>1520</v>
      </c>
      <c r="B381" s="4" t="s">
        <v>1686</v>
      </c>
      <c r="C381" s="4" t="s">
        <v>225</v>
      </c>
      <c r="D381" s="4" t="s">
        <v>40</v>
      </c>
      <c r="E381" s="4" t="s">
        <v>40</v>
      </c>
      <c r="F381" t="s">
        <v>40</v>
      </c>
      <c r="G381" t="s">
        <v>1523</v>
      </c>
      <c r="H381" t="s">
        <v>1522</v>
      </c>
      <c r="I381" t="s">
        <v>40</v>
      </c>
      <c r="J381" t="s">
        <v>40</v>
      </c>
      <c r="K381" t="s">
        <v>40</v>
      </c>
      <c r="L381" t="s">
        <v>40</v>
      </c>
      <c r="M381">
        <v>14.700000000000001</v>
      </c>
      <c r="N381">
        <v>0</v>
      </c>
      <c r="O381">
        <v>1</v>
      </c>
      <c r="P381">
        <v>0</v>
      </c>
      <c r="Q381" t="s">
        <v>77</v>
      </c>
      <c r="R381" t="b">
        <v>0</v>
      </c>
      <c r="S381" t="s">
        <v>40</v>
      </c>
      <c r="T381" t="s">
        <v>49</v>
      </c>
      <c r="U381" t="s">
        <v>1163</v>
      </c>
      <c r="V381" s="2">
        <v>45664.609004629776</v>
      </c>
      <c r="W381" t="s">
        <v>40</v>
      </c>
      <c r="X381">
        <v>0</v>
      </c>
      <c r="Y381" t="s">
        <v>40</v>
      </c>
      <c r="Z381" t="s">
        <v>40</v>
      </c>
      <c r="AA381" t="s">
        <v>40</v>
      </c>
      <c r="AB381">
        <v>0</v>
      </c>
      <c r="AC381" t="s">
        <v>49</v>
      </c>
      <c r="AD381" t="s">
        <v>40</v>
      </c>
      <c r="AE381" t="s">
        <v>40</v>
      </c>
      <c r="AF381" t="s">
        <v>1521</v>
      </c>
      <c r="AG381" t="s">
        <v>40</v>
      </c>
      <c r="AH381" t="s">
        <v>40</v>
      </c>
      <c r="AI381" t="s">
        <v>40</v>
      </c>
      <c r="AJ381" t="s">
        <v>40</v>
      </c>
      <c r="AK381" t="s">
        <v>40</v>
      </c>
      <c r="AL381" t="s">
        <v>40</v>
      </c>
      <c r="AM381" t="s">
        <v>40</v>
      </c>
    </row>
    <row r="382" spans="1:39" x14ac:dyDescent="0.2">
      <c r="A382" s="4" t="s">
        <v>1524</v>
      </c>
      <c r="B382" s="4" t="s">
        <v>1687</v>
      </c>
      <c r="C382" s="4" t="s">
        <v>40</v>
      </c>
      <c r="D382" s="4" t="s">
        <v>40</v>
      </c>
      <c r="E382" s="4" t="s">
        <v>40</v>
      </c>
      <c r="F382" t="s">
        <v>40</v>
      </c>
      <c r="G382" t="s">
        <v>1527</v>
      </c>
      <c r="H382" t="s">
        <v>1526</v>
      </c>
      <c r="I382" t="s">
        <v>40</v>
      </c>
      <c r="J382" t="s">
        <v>40</v>
      </c>
      <c r="K382" t="s">
        <v>40</v>
      </c>
      <c r="L382" t="s">
        <v>40</v>
      </c>
      <c r="M382">
        <v>0</v>
      </c>
      <c r="N382">
        <v>0</v>
      </c>
      <c r="O382">
        <v>1</v>
      </c>
      <c r="P382">
        <v>0</v>
      </c>
      <c r="Q382" t="s">
        <v>77</v>
      </c>
      <c r="R382" t="b">
        <v>0</v>
      </c>
      <c r="S382" t="s">
        <v>40</v>
      </c>
      <c r="T382" t="s">
        <v>49</v>
      </c>
      <c r="U382" t="s">
        <v>1163</v>
      </c>
      <c r="V382" s="2">
        <v>45665.667465277947</v>
      </c>
      <c r="W382" t="s">
        <v>40</v>
      </c>
      <c r="X382">
        <v>0</v>
      </c>
      <c r="Y382" t="s">
        <v>40</v>
      </c>
      <c r="Z382" t="s">
        <v>40</v>
      </c>
      <c r="AA382" t="s">
        <v>40</v>
      </c>
      <c r="AB382">
        <v>0</v>
      </c>
      <c r="AC382" t="s">
        <v>49</v>
      </c>
      <c r="AD382" t="s">
        <v>40</v>
      </c>
      <c r="AE382" t="s">
        <v>40</v>
      </c>
      <c r="AF382" t="s">
        <v>1525</v>
      </c>
      <c r="AG382" t="s">
        <v>40</v>
      </c>
      <c r="AH382" t="s">
        <v>40</v>
      </c>
      <c r="AI382" t="s">
        <v>40</v>
      </c>
      <c r="AJ382" t="s">
        <v>40</v>
      </c>
      <c r="AK382" t="s">
        <v>40</v>
      </c>
      <c r="AL382" t="s">
        <v>40</v>
      </c>
      <c r="AM382" t="s">
        <v>40</v>
      </c>
    </row>
    <row r="383" spans="1:39" x14ac:dyDescent="0.2">
      <c r="A383" s="4" t="s">
        <v>1528</v>
      </c>
      <c r="B383" s="4" t="s">
        <v>1688</v>
      </c>
      <c r="C383" s="4" t="s">
        <v>1799</v>
      </c>
      <c r="D383" s="4" t="s">
        <v>40</v>
      </c>
      <c r="E383" s="4" t="s">
        <v>40</v>
      </c>
      <c r="F383" t="s">
        <v>40</v>
      </c>
      <c r="G383" t="s">
        <v>1530</v>
      </c>
      <c r="H383" t="s">
        <v>40</v>
      </c>
      <c r="I383" t="s">
        <v>40</v>
      </c>
      <c r="J383" t="s">
        <v>40</v>
      </c>
      <c r="K383" t="s">
        <v>40</v>
      </c>
      <c r="L383" t="s">
        <v>40</v>
      </c>
      <c r="M383">
        <v>0</v>
      </c>
      <c r="N383">
        <v>0</v>
      </c>
      <c r="O383">
        <v>1</v>
      </c>
      <c r="P383">
        <v>0</v>
      </c>
      <c r="Q383" t="s">
        <v>77</v>
      </c>
      <c r="R383" t="b">
        <v>0</v>
      </c>
      <c r="S383" t="s">
        <v>40</v>
      </c>
      <c r="T383" t="s">
        <v>49</v>
      </c>
      <c r="U383" t="s">
        <v>1163</v>
      </c>
      <c r="V383" s="2">
        <v>45666.664548611268</v>
      </c>
      <c r="W383" t="s">
        <v>1531</v>
      </c>
      <c r="X383">
        <v>0</v>
      </c>
      <c r="Y383" t="s">
        <v>40</v>
      </c>
      <c r="Z383" t="s">
        <v>40</v>
      </c>
      <c r="AA383" t="s">
        <v>40</v>
      </c>
      <c r="AB383">
        <v>0</v>
      </c>
      <c r="AC383" t="s">
        <v>49</v>
      </c>
      <c r="AD383" t="s">
        <v>40</v>
      </c>
      <c r="AE383" t="s">
        <v>40</v>
      </c>
      <c r="AF383" t="s">
        <v>1529</v>
      </c>
      <c r="AG383" t="s">
        <v>40</v>
      </c>
      <c r="AH383" t="s">
        <v>40</v>
      </c>
      <c r="AI383" t="s">
        <v>40</v>
      </c>
      <c r="AJ383" t="s">
        <v>40</v>
      </c>
      <c r="AK383" t="s">
        <v>40</v>
      </c>
      <c r="AL383" t="s">
        <v>40</v>
      </c>
      <c r="AM383" t="s">
        <v>40</v>
      </c>
    </row>
    <row r="384" spans="1:39" x14ac:dyDescent="0.2">
      <c r="A384" s="4" t="s">
        <v>1532</v>
      </c>
      <c r="B384" s="4" t="s">
        <v>1533</v>
      </c>
      <c r="C384" s="4" t="s">
        <v>1800</v>
      </c>
      <c r="D384" s="4" t="s">
        <v>40</v>
      </c>
      <c r="E384" s="4" t="s">
        <v>40</v>
      </c>
      <c r="F384" t="s">
        <v>40</v>
      </c>
      <c r="G384" t="s">
        <v>955</v>
      </c>
      <c r="H384" t="s">
        <v>1534</v>
      </c>
      <c r="I384" t="s">
        <v>40</v>
      </c>
      <c r="J384" t="s">
        <v>40</v>
      </c>
      <c r="K384" t="s">
        <v>40</v>
      </c>
      <c r="L384" t="s">
        <v>40</v>
      </c>
      <c r="M384">
        <v>0</v>
      </c>
      <c r="N384">
        <v>0</v>
      </c>
      <c r="O384">
        <v>1</v>
      </c>
      <c r="P384">
        <v>0</v>
      </c>
      <c r="Q384" t="s">
        <v>77</v>
      </c>
      <c r="R384" t="b">
        <v>0</v>
      </c>
      <c r="S384" t="s">
        <v>40</v>
      </c>
      <c r="T384" t="s">
        <v>49</v>
      </c>
      <c r="U384" t="s">
        <v>1163</v>
      </c>
      <c r="V384" s="2">
        <v>45677.573078691959</v>
      </c>
      <c r="W384" t="s">
        <v>40</v>
      </c>
      <c r="X384">
        <v>0</v>
      </c>
      <c r="Y384" t="s">
        <v>40</v>
      </c>
      <c r="Z384" t="s">
        <v>40</v>
      </c>
      <c r="AA384" t="s">
        <v>40</v>
      </c>
      <c r="AB384">
        <v>0</v>
      </c>
      <c r="AC384" t="s">
        <v>49</v>
      </c>
      <c r="AD384" t="s">
        <v>40</v>
      </c>
      <c r="AE384" t="s">
        <v>40</v>
      </c>
      <c r="AF384" t="s">
        <v>1533</v>
      </c>
      <c r="AG384" t="s">
        <v>40</v>
      </c>
      <c r="AH384" t="s">
        <v>40</v>
      </c>
      <c r="AI384" t="s">
        <v>40</v>
      </c>
      <c r="AJ384" t="s">
        <v>40</v>
      </c>
      <c r="AK384" t="s">
        <v>40</v>
      </c>
      <c r="AL384" t="s">
        <v>40</v>
      </c>
      <c r="AM384" t="s">
        <v>40</v>
      </c>
    </row>
    <row r="385" spans="1:39" x14ac:dyDescent="0.2">
      <c r="A385" s="4" t="s">
        <v>1535</v>
      </c>
      <c r="B385" s="4" t="s">
        <v>1689</v>
      </c>
      <c r="C385" s="4" t="s">
        <v>1801</v>
      </c>
      <c r="D385" s="4" t="s">
        <v>40</v>
      </c>
      <c r="E385" s="4" t="s">
        <v>40</v>
      </c>
      <c r="F385" t="s">
        <v>40</v>
      </c>
      <c r="G385" t="s">
        <v>1537</v>
      </c>
      <c r="H385" t="s">
        <v>40</v>
      </c>
      <c r="I385" t="s">
        <v>40</v>
      </c>
      <c r="J385" t="s">
        <v>40</v>
      </c>
      <c r="K385" t="s">
        <v>40</v>
      </c>
      <c r="L385" t="s">
        <v>40</v>
      </c>
      <c r="M385">
        <v>0</v>
      </c>
      <c r="N385">
        <v>0</v>
      </c>
      <c r="O385">
        <v>1</v>
      </c>
      <c r="P385">
        <v>0</v>
      </c>
      <c r="Q385" t="s">
        <v>77</v>
      </c>
      <c r="R385" t="b">
        <v>0</v>
      </c>
      <c r="S385" t="s">
        <v>40</v>
      </c>
      <c r="T385" t="s">
        <v>49</v>
      </c>
      <c r="U385" t="s">
        <v>1163</v>
      </c>
      <c r="V385" s="2">
        <v>45694.579652777873</v>
      </c>
      <c r="W385" t="s">
        <v>1538</v>
      </c>
      <c r="X385">
        <v>0</v>
      </c>
      <c r="Y385" t="s">
        <v>40</v>
      </c>
      <c r="Z385" t="s">
        <v>40</v>
      </c>
      <c r="AA385" t="s">
        <v>40</v>
      </c>
      <c r="AB385">
        <v>0</v>
      </c>
      <c r="AC385" t="s">
        <v>49</v>
      </c>
      <c r="AD385" t="s">
        <v>40</v>
      </c>
      <c r="AE385" t="s">
        <v>40</v>
      </c>
      <c r="AF385" t="s">
        <v>1536</v>
      </c>
      <c r="AG385" t="s">
        <v>40</v>
      </c>
      <c r="AH385" t="s">
        <v>40</v>
      </c>
      <c r="AI385" t="s">
        <v>40</v>
      </c>
      <c r="AJ385" t="s">
        <v>40</v>
      </c>
      <c r="AK385" t="s">
        <v>40</v>
      </c>
      <c r="AL385" t="s">
        <v>40</v>
      </c>
      <c r="AM385" t="s">
        <v>40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81770-3889-48D5-8DB2-F649B062F351}">
  <sheetPr codeName="Hoja2">
    <tabColor theme="9" tint="0.39997558519241921"/>
  </sheetPr>
  <dimension ref="A1:CO58"/>
  <sheetViews>
    <sheetView tabSelected="1" zoomScale="110" zoomScaleNormal="110" workbookViewId="0">
      <selection activeCell="A2" sqref="A2"/>
    </sheetView>
  </sheetViews>
  <sheetFormatPr baseColWidth="10" defaultRowHeight="12.75" x14ac:dyDescent="0.2"/>
  <cols>
    <col min="1" max="1" width="10.28515625" customWidth="1"/>
    <col min="2" max="2" width="9.7109375" customWidth="1"/>
    <col min="3" max="3" width="16.7109375" style="37" customWidth="1"/>
    <col min="4" max="4" width="18.7109375" customWidth="1"/>
    <col min="5" max="5" width="20.140625" customWidth="1"/>
    <col min="6" max="6" width="12.7109375" style="4" customWidth="1"/>
    <col min="7" max="7" width="42.140625" bestFit="1" customWidth="1"/>
    <col min="8" max="8" width="38" customWidth="1"/>
    <col min="9" max="9" width="20.28515625" customWidth="1"/>
    <col min="10" max="11" width="15.28515625" customWidth="1"/>
    <col min="12" max="12" width="14.85546875" customWidth="1"/>
    <col min="13" max="13" width="17.140625" customWidth="1"/>
    <col min="14" max="14" width="13.28515625" customWidth="1"/>
    <col min="15" max="15" width="19" style="6" customWidth="1"/>
    <col min="16" max="16" width="13.5703125" customWidth="1"/>
    <col min="17" max="17" width="15.28515625" style="4" customWidth="1"/>
    <col min="18" max="18" width="12" customWidth="1"/>
    <col min="19" max="19" width="13.140625" customWidth="1"/>
    <col min="20" max="20" width="15" customWidth="1"/>
    <col min="21" max="21" width="8.7109375" customWidth="1"/>
    <col min="22" max="22" width="16.28515625" customWidth="1"/>
    <col min="23" max="23" width="17.28515625" style="38" customWidth="1"/>
    <col min="24" max="24" width="13.7109375" customWidth="1"/>
    <col min="25" max="25" width="13.85546875" customWidth="1"/>
    <col min="26" max="26" width="14.42578125" customWidth="1"/>
    <col min="27" max="27" width="16.140625" customWidth="1"/>
    <col min="28" max="28" width="10.7109375" customWidth="1"/>
    <col min="29" max="29" width="19.28515625" customWidth="1"/>
    <col min="30" max="30" width="9.28515625" customWidth="1"/>
    <col min="31" max="31" width="9.7109375" customWidth="1"/>
    <col min="32" max="32" width="18.7109375" customWidth="1"/>
    <col min="33" max="33" width="13.28515625" customWidth="1"/>
    <col min="34" max="34" width="11.85546875" style="4" customWidth="1"/>
    <col min="35" max="35" width="10.5703125" style="4" customWidth="1"/>
    <col min="36" max="36" width="12.85546875" customWidth="1"/>
    <col min="37" max="37" width="21" customWidth="1"/>
    <col min="38" max="38" width="12.85546875" style="4" customWidth="1"/>
    <col min="39" max="39" width="11.7109375" style="4" customWidth="1"/>
    <col min="40" max="40" width="13.28515625" customWidth="1"/>
    <col min="41" max="41" width="11" customWidth="1"/>
    <col min="42" max="42" width="12.28515625" style="37" customWidth="1"/>
    <col min="43" max="43" width="10.28515625" customWidth="1"/>
    <col min="44" max="44" width="10.7109375" customWidth="1"/>
    <col min="45" max="45" width="15.85546875" customWidth="1"/>
    <col min="46" max="46" width="9" customWidth="1"/>
    <col min="47" max="47" width="15" customWidth="1"/>
    <col min="48" max="48" width="20" customWidth="1"/>
    <col min="49" max="49" width="19.7109375" style="39" customWidth="1"/>
    <col min="50" max="53" width="20.42578125" customWidth="1"/>
    <col min="54" max="54" width="17.42578125" customWidth="1"/>
    <col min="55" max="55" width="12.85546875" customWidth="1"/>
    <col min="56" max="56" width="12.140625" customWidth="1"/>
    <col min="57" max="57" width="15.42578125" customWidth="1"/>
    <col min="58" max="58" width="20.5703125" customWidth="1"/>
    <col min="59" max="59" width="0.140625" customWidth="1"/>
    <col min="60" max="60" width="20" customWidth="1"/>
    <col min="61" max="61" width="19.5703125" customWidth="1"/>
    <col min="62" max="62" width="18.28515625" customWidth="1"/>
    <col min="63" max="63" width="15.7109375" customWidth="1"/>
    <col min="64" max="64" width="18.42578125" customWidth="1"/>
    <col min="65" max="65" width="17.28515625" customWidth="1"/>
    <col min="66" max="66" width="21.7109375" customWidth="1"/>
    <col min="67" max="67" width="14.7109375" customWidth="1"/>
    <col min="68" max="69" width="20.28515625" customWidth="1"/>
    <col min="70" max="71" width="22.5703125" customWidth="1"/>
    <col min="72" max="72" width="19.42578125" customWidth="1"/>
    <col min="73" max="73" width="16.7109375" customWidth="1"/>
    <col min="74" max="74" width="15.42578125" customWidth="1"/>
    <col min="75" max="75" width="16.140625" customWidth="1"/>
    <col min="76" max="76" width="17.5703125" customWidth="1"/>
    <col min="77" max="77" width="11.7109375" customWidth="1"/>
    <col min="78" max="78" width="14.42578125" customWidth="1"/>
    <col min="79" max="79" width="9.85546875" customWidth="1"/>
    <col min="80" max="80" width="14.28515625" customWidth="1"/>
    <col min="81" max="81" width="12.140625" customWidth="1"/>
    <col min="82" max="82" width="11.5703125" customWidth="1"/>
    <col min="83" max="83" width="12.7109375" customWidth="1"/>
    <col min="84" max="84" width="10.5703125" customWidth="1"/>
    <col min="85" max="85" width="8.28515625" customWidth="1"/>
    <col min="86" max="86" width="12" customWidth="1"/>
    <col min="87" max="87" width="12.85546875" customWidth="1"/>
    <col min="88" max="88" width="8.42578125" customWidth="1"/>
    <col min="89" max="89" width="15.5703125" customWidth="1"/>
    <col min="90" max="90" width="11.28515625" customWidth="1"/>
    <col min="91" max="91" width="19.28515625" customWidth="1"/>
    <col min="92" max="92" width="16.85546875" bestFit="1" customWidth="1"/>
    <col min="93" max="93" width="14.5703125" bestFit="1" customWidth="1"/>
  </cols>
  <sheetData>
    <row r="1" spans="1:93" x14ac:dyDescent="0.2">
      <c r="A1" s="10" t="s">
        <v>1348</v>
      </c>
      <c r="B1" s="8" t="s">
        <v>1349</v>
      </c>
      <c r="C1" s="11" t="s">
        <v>1350</v>
      </c>
      <c r="D1" s="10" t="s">
        <v>1351</v>
      </c>
      <c r="E1" s="10" t="s">
        <v>1352</v>
      </c>
      <c r="F1" s="11" t="s">
        <v>0</v>
      </c>
      <c r="G1" s="8" t="s">
        <v>1353</v>
      </c>
      <c r="H1" s="8" t="s">
        <v>1354</v>
      </c>
      <c r="I1" s="8" t="s">
        <v>3</v>
      </c>
      <c r="J1" s="8" t="s">
        <v>4</v>
      </c>
      <c r="K1" s="8" t="s">
        <v>5</v>
      </c>
      <c r="L1" s="8" t="s">
        <v>6</v>
      </c>
      <c r="M1" s="8" t="s">
        <v>7</v>
      </c>
      <c r="N1" s="10" t="s">
        <v>14</v>
      </c>
      <c r="O1" s="8" t="s">
        <v>1355</v>
      </c>
      <c r="P1" s="40" t="s">
        <v>1356</v>
      </c>
      <c r="Q1" s="11" t="s">
        <v>18</v>
      </c>
      <c r="R1" s="8" t="s">
        <v>1357</v>
      </c>
      <c r="S1" s="3" t="s">
        <v>1358</v>
      </c>
      <c r="T1" s="8" t="s">
        <v>8</v>
      </c>
      <c r="U1" s="3" t="s">
        <v>1359</v>
      </c>
      <c r="V1" s="3" t="s">
        <v>1360</v>
      </c>
      <c r="W1" s="9" t="s">
        <v>1361</v>
      </c>
      <c r="X1" s="10" t="s">
        <v>12</v>
      </c>
      <c r="Y1" s="8" t="s">
        <v>1362</v>
      </c>
      <c r="Z1" s="8" t="s">
        <v>1363</v>
      </c>
      <c r="AA1" s="8" t="s">
        <v>1364</v>
      </c>
      <c r="AB1" s="8" t="s">
        <v>1365</v>
      </c>
      <c r="AC1" s="8" t="s">
        <v>1366</v>
      </c>
      <c r="AD1" s="10" t="s">
        <v>1367</v>
      </c>
      <c r="AE1" s="3" t="s">
        <v>1368</v>
      </c>
      <c r="AF1" s="3" t="s">
        <v>1369</v>
      </c>
      <c r="AG1" s="3" t="s">
        <v>1370</v>
      </c>
      <c r="AH1" s="9" t="s">
        <v>1371</v>
      </c>
      <c r="AI1" s="9" t="s">
        <v>1372</v>
      </c>
      <c r="AJ1" s="9" t="s">
        <v>20</v>
      </c>
      <c r="AK1" s="9" t="s">
        <v>21</v>
      </c>
      <c r="AL1" s="9" t="s">
        <v>1373</v>
      </c>
      <c r="AM1" s="36" t="s">
        <v>1374</v>
      </c>
      <c r="AN1" s="8" t="s">
        <v>1375</v>
      </c>
      <c r="AO1" s="8" t="s">
        <v>1376</v>
      </c>
      <c r="AP1" s="9" t="s">
        <v>1377</v>
      </c>
      <c r="AQ1" s="5" t="s">
        <v>1378</v>
      </c>
      <c r="AR1" s="8" t="s">
        <v>1379</v>
      </c>
      <c r="AS1" s="5" t="s">
        <v>1380</v>
      </c>
      <c r="AT1" s="8" t="s">
        <v>23</v>
      </c>
      <c r="AU1" s="8" t="s">
        <v>1381</v>
      </c>
      <c r="AV1" s="5" t="s">
        <v>1382</v>
      </c>
      <c r="AW1" s="8" t="s">
        <v>1383</v>
      </c>
      <c r="AX1" s="8" t="s">
        <v>1384</v>
      </c>
      <c r="AY1" s="8" t="s">
        <v>1385</v>
      </c>
      <c r="AZ1" s="8" t="s">
        <v>1386</v>
      </c>
      <c r="BA1" s="8" t="s">
        <v>1387</v>
      </c>
      <c r="BB1" s="8" t="s">
        <v>1388</v>
      </c>
      <c r="BC1" s="8" t="s">
        <v>1389</v>
      </c>
      <c r="BD1" s="8" t="s">
        <v>1390</v>
      </c>
      <c r="BE1" s="8" t="s">
        <v>1391</v>
      </c>
      <c r="BF1" s="8" t="s">
        <v>1392</v>
      </c>
      <c r="BG1" s="3" t="s">
        <v>1393</v>
      </c>
      <c r="BH1" s="8" t="s">
        <v>1394</v>
      </c>
      <c r="BI1" s="8" t="s">
        <v>1395</v>
      </c>
      <c r="BJ1" s="3" t="s">
        <v>1396</v>
      </c>
      <c r="BK1" s="3" t="s">
        <v>1397</v>
      </c>
      <c r="BL1" s="3" t="s">
        <v>1398</v>
      </c>
      <c r="BM1" s="3" t="s">
        <v>1399</v>
      </c>
      <c r="BN1" s="3" t="s">
        <v>1400</v>
      </c>
      <c r="BO1" s="3" t="s">
        <v>1401</v>
      </c>
      <c r="BP1" s="3" t="s">
        <v>1402</v>
      </c>
      <c r="BQ1" s="3" t="s">
        <v>1403</v>
      </c>
      <c r="BR1" s="3" t="s">
        <v>1404</v>
      </c>
      <c r="BS1" s="3" t="s">
        <v>1405</v>
      </c>
      <c r="BT1" s="3" t="s">
        <v>1406</v>
      </c>
      <c r="BU1" s="3" t="s">
        <v>1407</v>
      </c>
      <c r="BV1" s="3" t="s">
        <v>1408</v>
      </c>
      <c r="BW1" s="3" t="s">
        <v>1409</v>
      </c>
      <c r="BX1" s="3" t="s">
        <v>1410</v>
      </c>
      <c r="BY1" s="3" t="s">
        <v>1411</v>
      </c>
      <c r="BZ1" s="3" t="s">
        <v>1412</v>
      </c>
      <c r="CA1" s="3" t="s">
        <v>1413</v>
      </c>
      <c r="CB1" s="3" t="s">
        <v>27</v>
      </c>
      <c r="CC1" s="3" t="s">
        <v>1414</v>
      </c>
      <c r="CD1" s="3" t="s">
        <v>1415</v>
      </c>
      <c r="CE1" s="3" t="s">
        <v>1416</v>
      </c>
      <c r="CF1" s="3" t="s">
        <v>1417</v>
      </c>
      <c r="CG1" s="3" t="s">
        <v>1418</v>
      </c>
      <c r="CH1" s="3" t="s">
        <v>1419</v>
      </c>
      <c r="CI1" s="3" t="s">
        <v>1420</v>
      </c>
      <c r="CJ1" s="3" t="s">
        <v>1421</v>
      </c>
      <c r="CK1" s="3" t="s">
        <v>1422</v>
      </c>
      <c r="CL1" s="3" t="s">
        <v>1423</v>
      </c>
      <c r="CM1" s="3" t="s">
        <v>1424</v>
      </c>
      <c r="CN1" s="3" t="s">
        <v>1809</v>
      </c>
      <c r="CO1" s="3" t="s">
        <v>1810</v>
      </c>
    </row>
    <row r="2" spans="1:93" x14ac:dyDescent="0.2">
      <c r="A2" s="10"/>
      <c r="B2" s="8" t="str">
        <f>IF(A2="","",IF(D2=1,AYUDA!$C$9,AYUDA!$C$5))</f>
        <v/>
      </c>
      <c r="C2" s="11"/>
      <c r="D2" s="10"/>
      <c r="E2" s="10"/>
      <c r="F2" s="11"/>
      <c r="G2" s="8" t="str">
        <f>IF(A2="","",INDEX(CLIENTES[nombre],MATCH(F2,CLIENTES[cod_cliente],0)))</f>
        <v/>
      </c>
      <c r="H2" s="8" t="str">
        <f>IF(A2="","",INDEX(CLIENTES[direccion],MATCH(F2,CLIENTES[cod_cliente],0)))</f>
        <v/>
      </c>
      <c r="I2" s="8" t="str">
        <f>IF(A2="","",INDEX(CLIENTES[municipio],MATCH(F2,CLIENTES[cod_cliente],0)))</f>
        <v/>
      </c>
      <c r="J2" s="8" t="str">
        <f>IF(A2="","",INDEX(CLIENTES[departamento],MATCH(F2,CLIENTES[cod_cliente],0)))</f>
        <v/>
      </c>
      <c r="K2" s="8" t="str">
        <f>IF(A2="","",INDEX(CLIENTES[giro],MATCH(F2,CLIENTES[cod_cliente],0)))</f>
        <v/>
      </c>
      <c r="L2" s="8" t="str">
        <f>IF(A2="","",INDEX(CLIENTES[num_registro],MATCH(F2,CLIENTES[cod_cliente],0)))</f>
        <v/>
      </c>
      <c r="M2" s="8" t="str">
        <f>IF(A2="","",INDEX(CLIENTES[numero_nit],MATCH(F2,CLIENTES[cod_cliente],0)))</f>
        <v/>
      </c>
      <c r="N2" s="10"/>
      <c r="O2" s="8" t="str">
        <f>IF(A2="","",E2)</f>
        <v/>
      </c>
      <c r="P2" s="3"/>
      <c r="Q2" s="11"/>
      <c r="R2" s="8" t="str">
        <f>IF(A2="","",1)</f>
        <v/>
      </c>
      <c r="S2" s="3"/>
      <c r="T2" s="8" t="str">
        <f>IF(A2="","",INDEX(CLIENTES[telefonos],MATCH(F2,CLIENTES[cod_cliente],0)))</f>
        <v/>
      </c>
      <c r="U2" s="3"/>
      <c r="V2" s="3"/>
      <c r="W2" s="9" t="str">
        <f>IF(A2="","","0.00")</f>
        <v/>
      </c>
      <c r="X2" s="10"/>
      <c r="Y2" s="42"/>
      <c r="Z2" s="8" t="str">
        <f t="shared" ref="Z2" si="0">IF(A2="","","0.00")</f>
        <v/>
      </c>
      <c r="AA2" s="8" t="str">
        <f t="shared" ref="AA2" si="1">IF(A2="","","0.00")</f>
        <v/>
      </c>
      <c r="AB2" s="8"/>
      <c r="AC2" s="42"/>
      <c r="AD2" s="10"/>
      <c r="AE2" s="3"/>
      <c r="AF2" s="3"/>
      <c r="AG2" s="3"/>
      <c r="AH2" s="9" t="str">
        <f>IF(A2="","","01")</f>
        <v/>
      </c>
      <c r="AI2" s="9" t="str">
        <f>IF(A2="","","01")</f>
        <v/>
      </c>
      <c r="AJ2" s="9"/>
      <c r="AK2" s="9"/>
      <c r="AL2" s="9" t="str">
        <f>IF(A2="","","01")</f>
        <v/>
      </c>
      <c r="AM2" s="36"/>
      <c r="AN2" s="8" t="str">
        <f>IF(A2="","",1)</f>
        <v/>
      </c>
      <c r="AO2" s="8" t="str">
        <f>IF(A2="","",4)</f>
        <v/>
      </c>
      <c r="AP2" s="9" t="str">
        <f>IF(A2="","","0.00")</f>
        <v/>
      </c>
      <c r="AQ2" s="5"/>
      <c r="AR2" s="8" t="str">
        <f>IF(A2="","",0)</f>
        <v/>
      </c>
      <c r="AS2" s="5"/>
      <c r="AT2" s="8" t="str">
        <f>IF(A2="","",0)</f>
        <v/>
      </c>
      <c r="AU2" s="8" t="str">
        <f>IF(A2="","",AC2)</f>
        <v/>
      </c>
      <c r="AV2" s="5"/>
      <c r="AW2" s="8" t="str">
        <f>IF(A2="","","0.00")</f>
        <v/>
      </c>
      <c r="AX2" s="8"/>
      <c r="AY2" s="8"/>
      <c r="AZ2" s="8"/>
      <c r="BA2" s="8"/>
      <c r="BB2" s="8"/>
      <c r="BC2" s="8"/>
      <c r="BD2" s="8"/>
      <c r="BE2" s="8"/>
      <c r="BF2" s="8" t="str">
        <f>IF(A2="","",IF(D2=1,AYUDA!$D$9,AYUDA!$D$5))</f>
        <v/>
      </c>
      <c r="BG2" s="3"/>
      <c r="BH2" s="8" t="str">
        <f>IF(A2="","",IF(D2=1,AYUDA!$E$9,AYUDA!$E$5))</f>
        <v/>
      </c>
      <c r="BI2" s="8" t="str">
        <f>IF(A2="","",IF(D2=1,AYUDA!$F$9,AYUDA!$F$5))</f>
        <v/>
      </c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47"/>
      <c r="CO2" s="47"/>
    </row>
    <row r="3" spans="1:93" s="43" customFormat="1" x14ac:dyDescent="0.2">
      <c r="A3"/>
      <c r="B3"/>
      <c r="C3" s="37"/>
      <c r="D3"/>
      <c r="E3"/>
      <c r="F3" s="4"/>
      <c r="G3"/>
      <c r="H3"/>
      <c r="I3"/>
      <c r="J3"/>
      <c r="K3"/>
      <c r="L3"/>
      <c r="M3"/>
      <c r="N3"/>
      <c r="O3" s="6"/>
      <c r="P3"/>
      <c r="Q3" s="4"/>
      <c r="R3"/>
      <c r="S3"/>
      <c r="T3"/>
      <c r="U3"/>
      <c r="V3"/>
      <c r="W3" s="38"/>
      <c r="X3"/>
      <c r="Y3"/>
      <c r="Z3"/>
      <c r="AA3"/>
      <c r="AB3"/>
      <c r="AC3"/>
      <c r="AD3"/>
      <c r="AE3"/>
      <c r="AF3"/>
      <c r="AG3"/>
      <c r="AH3" s="4"/>
      <c r="AI3" s="4"/>
      <c r="AJ3"/>
      <c r="AK3"/>
      <c r="AL3" s="4"/>
      <c r="AM3" s="4"/>
      <c r="AN3"/>
      <c r="AO3"/>
      <c r="AP3" s="37"/>
      <c r="AQ3"/>
      <c r="AR3"/>
      <c r="AS3"/>
      <c r="AT3"/>
      <c r="AU3"/>
      <c r="AV3"/>
      <c r="AW3" s="39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</row>
    <row r="4" spans="1:93" s="43" customFormat="1" x14ac:dyDescent="0.2">
      <c r="A4"/>
      <c r="B4"/>
      <c r="C4" s="37"/>
      <c r="D4"/>
      <c r="E4"/>
      <c r="F4" s="4"/>
      <c r="G4"/>
      <c r="H4"/>
      <c r="I4"/>
      <c r="J4"/>
      <c r="K4"/>
      <c r="L4"/>
      <c r="M4"/>
      <c r="N4"/>
      <c r="O4" s="6"/>
      <c r="P4"/>
      <c r="Q4" s="4"/>
      <c r="R4"/>
      <c r="S4"/>
      <c r="T4"/>
      <c r="U4"/>
      <c r="V4"/>
      <c r="W4" s="38"/>
      <c r="X4"/>
      <c r="Y4"/>
      <c r="Z4"/>
      <c r="AA4"/>
      <c r="AB4"/>
      <c r="AC4"/>
      <c r="AD4"/>
      <c r="AE4"/>
      <c r="AF4"/>
      <c r="AG4"/>
      <c r="AH4" s="4"/>
      <c r="AI4" s="4"/>
      <c r="AJ4"/>
      <c r="AK4"/>
      <c r="AL4" s="4"/>
      <c r="AM4" s="4"/>
      <c r="AN4"/>
      <c r="AO4"/>
      <c r="AP4" s="37"/>
      <c r="AQ4"/>
      <c r="AR4"/>
      <c r="AS4"/>
      <c r="AT4"/>
      <c r="AU4"/>
      <c r="AV4"/>
      <c r="AW4" s="39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</row>
    <row r="5" spans="1:93" s="43" customFormat="1" x14ac:dyDescent="0.2">
      <c r="A5"/>
      <c r="B5"/>
      <c r="C5" s="37"/>
      <c r="D5"/>
      <c r="E5"/>
      <c r="F5" s="4"/>
      <c r="G5"/>
      <c r="H5"/>
      <c r="I5"/>
      <c r="J5"/>
      <c r="K5"/>
      <c r="L5"/>
      <c r="M5"/>
      <c r="N5"/>
      <c r="O5" s="6"/>
      <c r="P5"/>
      <c r="Q5" s="4"/>
      <c r="R5"/>
      <c r="S5"/>
      <c r="T5"/>
      <c r="U5"/>
      <c r="V5"/>
      <c r="W5" s="38"/>
      <c r="X5"/>
      <c r="Y5"/>
      <c r="Z5"/>
      <c r="AA5"/>
      <c r="AB5"/>
      <c r="AC5"/>
      <c r="AD5"/>
      <c r="AE5"/>
      <c r="AF5"/>
      <c r="AG5"/>
      <c r="AH5" s="4"/>
      <c r="AI5" s="4"/>
      <c r="AJ5"/>
      <c r="AK5"/>
      <c r="AL5" s="4"/>
      <c r="AM5" s="4"/>
      <c r="AN5"/>
      <c r="AO5"/>
      <c r="AP5" s="37"/>
      <c r="AQ5"/>
      <c r="AR5"/>
      <c r="AS5"/>
      <c r="AT5"/>
      <c r="AU5"/>
      <c r="AV5"/>
      <c r="AW5" s="39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</row>
    <row r="6" spans="1:93" s="43" customFormat="1" x14ac:dyDescent="0.2">
      <c r="A6"/>
      <c r="B6"/>
      <c r="C6" s="37"/>
      <c r="D6"/>
      <c r="E6"/>
      <c r="F6" s="4"/>
      <c r="G6"/>
      <c r="H6"/>
      <c r="I6"/>
      <c r="J6"/>
      <c r="K6"/>
      <c r="L6"/>
      <c r="M6"/>
      <c r="N6"/>
      <c r="O6" s="6"/>
      <c r="P6"/>
      <c r="Q6" s="4"/>
      <c r="R6"/>
      <c r="S6"/>
      <c r="T6"/>
      <c r="U6"/>
      <c r="V6"/>
      <c r="W6" s="38"/>
      <c r="X6"/>
      <c r="Y6"/>
      <c r="Z6"/>
      <c r="AA6"/>
      <c r="AB6"/>
      <c r="AC6"/>
      <c r="AD6"/>
      <c r="AE6"/>
      <c r="AF6"/>
      <c r="AG6"/>
      <c r="AH6" s="4"/>
      <c r="AI6" s="4"/>
      <c r="AJ6"/>
      <c r="AK6"/>
      <c r="AL6" s="4"/>
      <c r="AM6" s="4"/>
      <c r="AN6"/>
      <c r="AO6"/>
      <c r="AP6" s="37"/>
      <c r="AQ6"/>
      <c r="AR6"/>
      <c r="AS6"/>
      <c r="AT6"/>
      <c r="AU6"/>
      <c r="AV6"/>
      <c r="AW6" s="39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</row>
    <row r="7" spans="1:93" s="43" customFormat="1" x14ac:dyDescent="0.2">
      <c r="A7"/>
      <c r="B7"/>
      <c r="C7" s="37"/>
      <c r="D7"/>
      <c r="E7"/>
      <c r="F7" s="4"/>
      <c r="G7"/>
      <c r="H7"/>
      <c r="I7"/>
      <c r="J7"/>
      <c r="K7"/>
      <c r="L7"/>
      <c r="M7"/>
      <c r="N7"/>
      <c r="O7" s="6"/>
      <c r="P7"/>
      <c r="Q7" s="4"/>
      <c r="R7"/>
      <c r="S7"/>
      <c r="T7"/>
      <c r="U7"/>
      <c r="V7"/>
      <c r="W7" s="38"/>
      <c r="X7"/>
      <c r="Y7"/>
      <c r="Z7"/>
      <c r="AA7"/>
      <c r="AB7"/>
      <c r="AC7"/>
      <c r="AD7"/>
      <c r="AE7"/>
      <c r="AF7"/>
      <c r="AG7"/>
      <c r="AH7" s="4"/>
      <c r="AI7" s="4"/>
      <c r="AJ7"/>
      <c r="AK7"/>
      <c r="AL7" s="4"/>
      <c r="AM7" s="4"/>
      <c r="AN7"/>
      <c r="AO7"/>
      <c r="AP7" s="37"/>
      <c r="AQ7"/>
      <c r="AR7"/>
      <c r="AS7"/>
      <c r="AT7"/>
      <c r="AU7"/>
      <c r="AV7"/>
      <c r="AW7" s="39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</row>
    <row r="8" spans="1:93" s="43" customFormat="1" x14ac:dyDescent="0.2">
      <c r="A8"/>
      <c r="B8"/>
      <c r="C8" s="37"/>
      <c r="D8"/>
      <c r="E8"/>
      <c r="F8" s="4"/>
      <c r="G8"/>
      <c r="H8"/>
      <c r="I8"/>
      <c r="J8"/>
      <c r="K8"/>
      <c r="L8"/>
      <c r="M8"/>
      <c r="N8"/>
      <c r="O8" s="6"/>
      <c r="P8"/>
      <c r="Q8" s="4"/>
      <c r="R8"/>
      <c r="S8"/>
      <c r="T8"/>
      <c r="U8"/>
      <c r="V8"/>
      <c r="W8" s="38"/>
      <c r="X8"/>
      <c r="Y8"/>
      <c r="Z8"/>
      <c r="AA8"/>
      <c r="AB8"/>
      <c r="AC8"/>
      <c r="AD8"/>
      <c r="AE8"/>
      <c r="AF8"/>
      <c r="AG8"/>
      <c r="AH8" s="4"/>
      <c r="AI8" s="4"/>
      <c r="AJ8"/>
      <c r="AK8"/>
      <c r="AL8" s="4"/>
      <c r="AM8" s="4"/>
      <c r="AN8"/>
      <c r="AO8"/>
      <c r="AP8" s="37"/>
      <c r="AQ8"/>
      <c r="AR8"/>
      <c r="AS8"/>
      <c r="AT8"/>
      <c r="AU8"/>
      <c r="AV8"/>
      <c r="AW8" s="39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</row>
    <row r="9" spans="1:93" s="43" customFormat="1" x14ac:dyDescent="0.2">
      <c r="A9"/>
      <c r="B9"/>
      <c r="C9" s="37"/>
      <c r="D9"/>
      <c r="E9"/>
      <c r="F9" s="4"/>
      <c r="G9"/>
      <c r="H9"/>
      <c r="I9"/>
      <c r="J9"/>
      <c r="K9"/>
      <c r="L9"/>
      <c r="M9"/>
      <c r="N9"/>
      <c r="O9" s="6"/>
      <c r="P9"/>
      <c r="Q9" s="4"/>
      <c r="R9"/>
      <c r="S9"/>
      <c r="T9"/>
      <c r="U9"/>
      <c r="V9"/>
      <c r="W9" s="38"/>
      <c r="X9"/>
      <c r="Y9"/>
      <c r="Z9"/>
      <c r="AA9"/>
      <c r="AB9"/>
      <c r="AC9"/>
      <c r="AD9"/>
      <c r="AE9"/>
      <c r="AF9"/>
      <c r="AG9"/>
      <c r="AH9" s="4"/>
      <c r="AI9" s="4"/>
      <c r="AJ9"/>
      <c r="AK9"/>
      <c r="AL9" s="4"/>
      <c r="AM9" s="4"/>
      <c r="AN9"/>
      <c r="AO9"/>
      <c r="AP9" s="37"/>
      <c r="AQ9"/>
      <c r="AR9"/>
      <c r="AS9"/>
      <c r="AT9"/>
      <c r="AU9"/>
      <c r="AV9"/>
      <c r="AW9" s="3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</row>
    <row r="10" spans="1:93" s="43" customFormat="1" x14ac:dyDescent="0.2">
      <c r="A10"/>
      <c r="B10"/>
      <c r="C10" s="37"/>
      <c r="D10"/>
      <c r="E10"/>
      <c r="F10" s="4"/>
      <c r="G10"/>
      <c r="H10"/>
      <c r="I10"/>
      <c r="J10"/>
      <c r="K10"/>
      <c r="L10"/>
      <c r="M10"/>
      <c r="N10"/>
      <c r="O10" s="6"/>
      <c r="P10"/>
      <c r="Q10" s="4"/>
      <c r="R10"/>
      <c r="S10"/>
      <c r="T10"/>
      <c r="U10"/>
      <c r="V10"/>
      <c r="W10" s="38"/>
      <c r="X10"/>
      <c r="Y10"/>
      <c r="Z10"/>
      <c r="AA10"/>
      <c r="AB10"/>
      <c r="AC10"/>
      <c r="AD10"/>
      <c r="AE10"/>
      <c r="AF10"/>
      <c r="AG10"/>
      <c r="AH10" s="4"/>
      <c r="AI10" s="4"/>
      <c r="AJ10"/>
      <c r="AK10"/>
      <c r="AL10" s="4"/>
      <c r="AM10" s="4"/>
      <c r="AN10"/>
      <c r="AO10"/>
      <c r="AP10" s="37"/>
      <c r="AQ10"/>
      <c r="AR10"/>
      <c r="AS10"/>
      <c r="AT10"/>
      <c r="AU10"/>
      <c r="AV10"/>
      <c r="AW10" s="39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</row>
    <row r="11" spans="1:93" s="43" customFormat="1" x14ac:dyDescent="0.2">
      <c r="A11"/>
      <c r="B11"/>
      <c r="C11" s="37"/>
      <c r="D11"/>
      <c r="E11"/>
      <c r="F11" s="4"/>
      <c r="G11"/>
      <c r="H11"/>
      <c r="I11"/>
      <c r="J11"/>
      <c r="K11"/>
      <c r="L11"/>
      <c r="M11"/>
      <c r="N11"/>
      <c r="O11" s="6"/>
      <c r="P11"/>
      <c r="Q11" s="4"/>
      <c r="R11"/>
      <c r="S11"/>
      <c r="T11"/>
      <c r="U11"/>
      <c r="V11"/>
      <c r="W11" s="38"/>
      <c r="X11"/>
      <c r="Y11"/>
      <c r="Z11"/>
      <c r="AA11"/>
      <c r="AB11"/>
      <c r="AC11"/>
      <c r="AD11"/>
      <c r="AE11"/>
      <c r="AF11"/>
      <c r="AG11"/>
      <c r="AH11" s="4"/>
      <c r="AI11" s="4"/>
      <c r="AJ11"/>
      <c r="AK11"/>
      <c r="AL11" s="4"/>
      <c r="AM11" s="4"/>
      <c r="AN11"/>
      <c r="AO11"/>
      <c r="AP11" s="37"/>
      <c r="AQ11"/>
      <c r="AR11"/>
      <c r="AS11"/>
      <c r="AT11"/>
      <c r="AU11"/>
      <c r="AV11"/>
      <c r="AW11" s="39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</row>
    <row r="12" spans="1:93" s="43" customFormat="1" x14ac:dyDescent="0.2">
      <c r="A12"/>
      <c r="B12"/>
      <c r="C12" s="37"/>
      <c r="D12"/>
      <c r="E12"/>
      <c r="F12" s="4"/>
      <c r="G12"/>
      <c r="H12"/>
      <c r="I12"/>
      <c r="J12"/>
      <c r="K12"/>
      <c r="L12"/>
      <c r="M12"/>
      <c r="N12"/>
      <c r="O12" s="6"/>
      <c r="P12"/>
      <c r="Q12" s="4"/>
      <c r="R12"/>
      <c r="S12"/>
      <c r="T12"/>
      <c r="U12"/>
      <c r="V12"/>
      <c r="W12" s="38"/>
      <c r="X12"/>
      <c r="Y12"/>
      <c r="Z12"/>
      <c r="AA12"/>
      <c r="AB12"/>
      <c r="AC12"/>
      <c r="AD12"/>
      <c r="AE12"/>
      <c r="AF12"/>
      <c r="AG12"/>
      <c r="AH12" s="4"/>
      <c r="AI12" s="4"/>
      <c r="AJ12"/>
      <c r="AK12"/>
      <c r="AL12" s="4"/>
      <c r="AM12" s="4"/>
      <c r="AN12"/>
      <c r="AO12"/>
      <c r="AP12" s="37"/>
      <c r="AQ12"/>
      <c r="AR12"/>
      <c r="AS12"/>
      <c r="AT12"/>
      <c r="AU12"/>
      <c r="AV12"/>
      <c r="AW12" s="39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</row>
    <row r="13" spans="1:93" s="43" customFormat="1" x14ac:dyDescent="0.2">
      <c r="A13"/>
      <c r="B13"/>
      <c r="C13" s="37"/>
      <c r="D13"/>
      <c r="E13"/>
      <c r="F13" s="4"/>
      <c r="G13"/>
      <c r="H13"/>
      <c r="I13"/>
      <c r="J13"/>
      <c r="K13"/>
      <c r="L13"/>
      <c r="M13"/>
      <c r="N13"/>
      <c r="O13" s="6"/>
      <c r="P13"/>
      <c r="Q13" s="4"/>
      <c r="R13"/>
      <c r="S13"/>
      <c r="T13"/>
      <c r="U13"/>
      <c r="V13"/>
      <c r="W13" s="38"/>
      <c r="X13"/>
      <c r="Y13"/>
      <c r="Z13"/>
      <c r="AA13"/>
      <c r="AB13"/>
      <c r="AC13"/>
      <c r="AD13"/>
      <c r="AE13"/>
      <c r="AF13"/>
      <c r="AG13"/>
      <c r="AH13" s="4"/>
      <c r="AI13" s="4"/>
      <c r="AJ13"/>
      <c r="AK13"/>
      <c r="AL13" s="4"/>
      <c r="AM13" s="4"/>
      <c r="AN13"/>
      <c r="AO13"/>
      <c r="AP13" s="37"/>
      <c r="AQ13"/>
      <c r="AR13"/>
      <c r="AS13"/>
      <c r="AT13"/>
      <c r="AU13"/>
      <c r="AV13"/>
      <c r="AW13" s="39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3" s="43" customFormat="1" x14ac:dyDescent="0.2">
      <c r="A14"/>
      <c r="B14"/>
      <c r="C14" s="37"/>
      <c r="D14"/>
      <c r="E14"/>
      <c r="F14" s="4"/>
      <c r="G14"/>
      <c r="H14"/>
      <c r="I14"/>
      <c r="J14"/>
      <c r="K14"/>
      <c r="L14"/>
      <c r="M14"/>
      <c r="N14"/>
      <c r="O14" s="6"/>
      <c r="P14"/>
      <c r="Q14" s="4"/>
      <c r="R14"/>
      <c r="S14"/>
      <c r="T14"/>
      <c r="U14"/>
      <c r="V14"/>
      <c r="W14" s="38"/>
      <c r="X14"/>
      <c r="Y14"/>
      <c r="Z14"/>
      <c r="AA14"/>
      <c r="AB14"/>
      <c r="AC14"/>
      <c r="AD14"/>
      <c r="AE14"/>
      <c r="AF14"/>
      <c r="AG14"/>
      <c r="AH14" s="4"/>
      <c r="AI14" s="4"/>
      <c r="AJ14"/>
      <c r="AK14"/>
      <c r="AL14" s="4"/>
      <c r="AM14" s="4"/>
      <c r="AN14"/>
      <c r="AO14"/>
      <c r="AP14" s="37"/>
      <c r="AQ14"/>
      <c r="AR14"/>
      <c r="AS14"/>
      <c r="AT14"/>
      <c r="AU14"/>
      <c r="AV14"/>
      <c r="AW14" s="39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3" s="43" customFormat="1" x14ac:dyDescent="0.2">
      <c r="A15"/>
      <c r="B15"/>
      <c r="C15" s="37"/>
      <c r="D15"/>
      <c r="E15"/>
      <c r="F15" s="4"/>
      <c r="G15"/>
      <c r="H15"/>
      <c r="I15"/>
      <c r="J15"/>
      <c r="K15"/>
      <c r="L15"/>
      <c r="M15"/>
      <c r="N15"/>
      <c r="O15" s="6"/>
      <c r="P15"/>
      <c r="Q15" s="4"/>
      <c r="R15"/>
      <c r="S15"/>
      <c r="T15"/>
      <c r="U15"/>
      <c r="V15"/>
      <c r="W15" s="38"/>
      <c r="X15"/>
      <c r="Y15"/>
      <c r="Z15"/>
      <c r="AA15"/>
      <c r="AB15"/>
      <c r="AC15"/>
      <c r="AD15"/>
      <c r="AE15"/>
      <c r="AF15"/>
      <c r="AG15"/>
      <c r="AH15" s="4"/>
      <c r="AI15" s="4"/>
      <c r="AJ15"/>
      <c r="AK15"/>
      <c r="AL15" s="4"/>
      <c r="AM15" s="4"/>
      <c r="AN15"/>
      <c r="AO15"/>
      <c r="AP15" s="37"/>
      <c r="AQ15"/>
      <c r="AR15"/>
      <c r="AS15"/>
      <c r="AT15"/>
      <c r="AU15"/>
      <c r="AV15"/>
      <c r="AW15" s="39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3" s="43" customFormat="1" x14ac:dyDescent="0.2">
      <c r="A16"/>
      <c r="B16"/>
      <c r="C16" s="37"/>
      <c r="D16"/>
      <c r="E16"/>
      <c r="F16" s="4"/>
      <c r="G16"/>
      <c r="H16"/>
      <c r="I16"/>
      <c r="J16"/>
      <c r="K16"/>
      <c r="L16"/>
      <c r="M16"/>
      <c r="N16"/>
      <c r="O16" s="6"/>
      <c r="P16"/>
      <c r="Q16" s="4"/>
      <c r="R16"/>
      <c r="S16"/>
      <c r="T16"/>
      <c r="U16"/>
      <c r="V16"/>
      <c r="W16" s="38"/>
      <c r="X16"/>
      <c r="Y16"/>
      <c r="Z16"/>
      <c r="AA16"/>
      <c r="AB16"/>
      <c r="AC16"/>
      <c r="AD16"/>
      <c r="AE16"/>
      <c r="AF16"/>
      <c r="AG16"/>
      <c r="AH16" s="4"/>
      <c r="AI16" s="4"/>
      <c r="AJ16"/>
      <c r="AK16"/>
      <c r="AL16" s="4"/>
      <c r="AM16" s="4"/>
      <c r="AN16"/>
      <c r="AO16"/>
      <c r="AP16" s="37"/>
      <c r="AQ16"/>
      <c r="AR16"/>
      <c r="AS16"/>
      <c r="AT16"/>
      <c r="AU16"/>
      <c r="AV16"/>
      <c r="AW16" s="39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43" customFormat="1" x14ac:dyDescent="0.2">
      <c r="A17"/>
      <c r="B17"/>
      <c r="C17" s="37"/>
      <c r="D17"/>
      <c r="E17"/>
      <c r="F17" s="4"/>
      <c r="G17"/>
      <c r="H17"/>
      <c r="I17"/>
      <c r="J17"/>
      <c r="K17"/>
      <c r="L17"/>
      <c r="M17"/>
      <c r="N17"/>
      <c r="O17" s="6"/>
      <c r="P17"/>
      <c r="Q17" s="4"/>
      <c r="R17"/>
      <c r="S17"/>
      <c r="T17"/>
      <c r="U17"/>
      <c r="V17"/>
      <c r="W17" s="38"/>
      <c r="X17"/>
      <c r="Y17"/>
      <c r="Z17"/>
      <c r="AA17"/>
      <c r="AB17"/>
      <c r="AC17"/>
      <c r="AD17"/>
      <c r="AE17"/>
      <c r="AF17"/>
      <c r="AG17"/>
      <c r="AH17" s="4"/>
      <c r="AI17" s="4"/>
      <c r="AJ17"/>
      <c r="AK17"/>
      <c r="AL17" s="4"/>
      <c r="AM17" s="4"/>
      <c r="AN17"/>
      <c r="AO17"/>
      <c r="AP17" s="37"/>
      <c r="AQ17"/>
      <c r="AR17"/>
      <c r="AS17"/>
      <c r="AT17"/>
      <c r="AU17"/>
      <c r="AV17"/>
      <c r="AW17" s="39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43" customFormat="1" x14ac:dyDescent="0.2">
      <c r="A18"/>
      <c r="B18"/>
      <c r="C18" s="37"/>
      <c r="D18"/>
      <c r="E18"/>
      <c r="F18" s="4"/>
      <c r="G18"/>
      <c r="H18"/>
      <c r="I18"/>
      <c r="J18"/>
      <c r="K18"/>
      <c r="L18"/>
      <c r="M18"/>
      <c r="N18"/>
      <c r="O18" s="6"/>
      <c r="P18"/>
      <c r="Q18" s="4"/>
      <c r="R18"/>
      <c r="S18"/>
      <c r="T18"/>
      <c r="U18"/>
      <c r="V18"/>
      <c r="W18" s="38"/>
      <c r="X18"/>
      <c r="Y18"/>
      <c r="Z18"/>
      <c r="AA18"/>
      <c r="AB18"/>
      <c r="AC18"/>
      <c r="AD18"/>
      <c r="AE18"/>
      <c r="AF18"/>
      <c r="AG18"/>
      <c r="AH18" s="4"/>
      <c r="AI18" s="4"/>
      <c r="AJ18"/>
      <c r="AK18"/>
      <c r="AL18" s="4"/>
      <c r="AM18" s="4"/>
      <c r="AN18"/>
      <c r="AO18"/>
      <c r="AP18" s="37"/>
      <c r="AQ18"/>
      <c r="AR18"/>
      <c r="AS18"/>
      <c r="AT18"/>
      <c r="AU18"/>
      <c r="AV18"/>
      <c r="AW18" s="39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43" customFormat="1" x14ac:dyDescent="0.2">
      <c r="A19"/>
      <c r="B19"/>
      <c r="C19" s="37"/>
      <c r="D19"/>
      <c r="E19"/>
      <c r="F19" s="4"/>
      <c r="G19"/>
      <c r="H19"/>
      <c r="I19"/>
      <c r="J19"/>
      <c r="K19"/>
      <c r="L19"/>
      <c r="M19"/>
      <c r="N19"/>
      <c r="O19" s="6"/>
      <c r="P19"/>
      <c r="Q19" s="4"/>
      <c r="R19"/>
      <c r="S19"/>
      <c r="T19"/>
      <c r="U19"/>
      <c r="V19"/>
      <c r="W19" s="38"/>
      <c r="X19"/>
      <c r="Y19"/>
      <c r="Z19"/>
      <c r="AA19"/>
      <c r="AB19"/>
      <c r="AC19"/>
      <c r="AD19"/>
      <c r="AE19"/>
      <c r="AF19"/>
      <c r="AG19"/>
      <c r="AH19" s="4"/>
      <c r="AI19" s="4"/>
      <c r="AJ19"/>
      <c r="AK19"/>
      <c r="AL19" s="4"/>
      <c r="AM19" s="4"/>
      <c r="AN19"/>
      <c r="AO19"/>
      <c r="AP19" s="37"/>
      <c r="AQ19"/>
      <c r="AR19"/>
      <c r="AS19"/>
      <c r="AT19"/>
      <c r="AU19"/>
      <c r="AV19"/>
      <c r="AW19" s="3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43" customFormat="1" x14ac:dyDescent="0.2">
      <c r="A20"/>
      <c r="B20"/>
      <c r="C20" s="37"/>
      <c r="D20"/>
      <c r="E20"/>
      <c r="F20" s="4"/>
      <c r="G20"/>
      <c r="H20"/>
      <c r="I20"/>
      <c r="J20"/>
      <c r="K20"/>
      <c r="L20"/>
      <c r="M20"/>
      <c r="N20"/>
      <c r="O20" s="6"/>
      <c r="P20"/>
      <c r="Q20" s="4"/>
      <c r="R20"/>
      <c r="S20"/>
      <c r="T20"/>
      <c r="U20"/>
      <c r="V20"/>
      <c r="W20" s="38"/>
      <c r="X20"/>
      <c r="Y20"/>
      <c r="Z20"/>
      <c r="AA20"/>
      <c r="AB20"/>
      <c r="AC20"/>
      <c r="AD20"/>
      <c r="AE20"/>
      <c r="AF20"/>
      <c r="AG20"/>
      <c r="AH20" s="4"/>
      <c r="AI20" s="4"/>
      <c r="AJ20"/>
      <c r="AK20"/>
      <c r="AL20" s="4"/>
      <c r="AM20" s="4"/>
      <c r="AN20"/>
      <c r="AO20"/>
      <c r="AP20" s="37"/>
      <c r="AQ20"/>
      <c r="AR20"/>
      <c r="AS20"/>
      <c r="AT20"/>
      <c r="AU20"/>
      <c r="AV20"/>
      <c r="AW20" s="39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43" customFormat="1" x14ac:dyDescent="0.2">
      <c r="A21"/>
      <c r="B21"/>
      <c r="C21" s="37"/>
      <c r="D21"/>
      <c r="E21"/>
      <c r="F21" s="4"/>
      <c r="G21"/>
      <c r="H21"/>
      <c r="I21"/>
      <c r="J21"/>
      <c r="K21"/>
      <c r="L21"/>
      <c r="M21"/>
      <c r="N21"/>
      <c r="O21" s="6"/>
      <c r="P21"/>
      <c r="Q21" s="4"/>
      <c r="R21"/>
      <c r="S21"/>
      <c r="T21"/>
      <c r="U21"/>
      <c r="V21"/>
      <c r="W21" s="38"/>
      <c r="X21"/>
      <c r="Y21"/>
      <c r="Z21"/>
      <c r="AA21"/>
      <c r="AB21"/>
      <c r="AC21"/>
      <c r="AD21"/>
      <c r="AE21"/>
      <c r="AF21"/>
      <c r="AG21"/>
      <c r="AH21" s="4"/>
      <c r="AI21" s="4"/>
      <c r="AJ21"/>
      <c r="AK21"/>
      <c r="AL21" s="4"/>
      <c r="AM21" s="4"/>
      <c r="AN21"/>
      <c r="AO21"/>
      <c r="AP21" s="37"/>
      <c r="AQ21"/>
      <c r="AR21"/>
      <c r="AS21"/>
      <c r="AT21"/>
      <c r="AU21"/>
      <c r="AV21"/>
      <c r="AW21" s="39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43" customFormat="1" x14ac:dyDescent="0.2">
      <c r="A22"/>
      <c r="B22"/>
      <c r="C22" s="37"/>
      <c r="D22"/>
      <c r="E22"/>
      <c r="F22" s="4"/>
      <c r="G22"/>
      <c r="H22"/>
      <c r="I22"/>
      <c r="J22"/>
      <c r="K22"/>
      <c r="L22"/>
      <c r="M22"/>
      <c r="N22"/>
      <c r="O22" s="6"/>
      <c r="P22"/>
      <c r="Q22" s="4"/>
      <c r="R22"/>
      <c r="S22"/>
      <c r="T22"/>
      <c r="U22"/>
      <c r="V22"/>
      <c r="W22" s="38"/>
      <c r="X22"/>
      <c r="Y22"/>
      <c r="Z22"/>
      <c r="AA22"/>
      <c r="AB22"/>
      <c r="AC22"/>
      <c r="AD22"/>
      <c r="AE22"/>
      <c r="AF22"/>
      <c r="AG22"/>
      <c r="AH22" s="4"/>
      <c r="AI22" s="4"/>
      <c r="AJ22"/>
      <c r="AK22"/>
      <c r="AL22" s="4"/>
      <c r="AM22" s="4"/>
      <c r="AN22"/>
      <c r="AO22"/>
      <c r="AP22" s="37"/>
      <c r="AQ22"/>
      <c r="AR22"/>
      <c r="AS22"/>
      <c r="AT22"/>
      <c r="AU22"/>
      <c r="AV22"/>
      <c r="AW22" s="39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43" customFormat="1" x14ac:dyDescent="0.2">
      <c r="A23"/>
      <c r="B23"/>
      <c r="C23" s="37"/>
      <c r="D23"/>
      <c r="E23"/>
      <c r="F23" s="4"/>
      <c r="G23"/>
      <c r="H23"/>
      <c r="I23"/>
      <c r="J23"/>
      <c r="K23"/>
      <c r="L23"/>
      <c r="M23"/>
      <c r="N23"/>
      <c r="O23" s="6"/>
      <c r="P23"/>
      <c r="Q23" s="4"/>
      <c r="R23"/>
      <c r="S23"/>
      <c r="T23"/>
      <c r="U23"/>
      <c r="V23"/>
      <c r="W23" s="38"/>
      <c r="X23"/>
      <c r="Y23"/>
      <c r="Z23"/>
      <c r="AA23"/>
      <c r="AB23"/>
      <c r="AC23"/>
      <c r="AD23"/>
      <c r="AE23"/>
      <c r="AF23"/>
      <c r="AG23"/>
      <c r="AH23" s="4"/>
      <c r="AI23" s="4"/>
      <c r="AJ23"/>
      <c r="AK23"/>
      <c r="AL23" s="4"/>
      <c r="AM23" s="4"/>
      <c r="AN23"/>
      <c r="AO23"/>
      <c r="AP23" s="37"/>
      <c r="AQ23"/>
      <c r="AR23"/>
      <c r="AS23"/>
      <c r="AT23"/>
      <c r="AU23"/>
      <c r="AV23"/>
      <c r="AW23" s="39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43" customFormat="1" x14ac:dyDescent="0.2">
      <c r="A24"/>
      <c r="B24"/>
      <c r="C24" s="37"/>
      <c r="D24"/>
      <c r="E24"/>
      <c r="F24" s="4"/>
      <c r="G24"/>
      <c r="H24"/>
      <c r="I24"/>
      <c r="J24"/>
      <c r="K24"/>
      <c r="L24"/>
      <c r="M24"/>
      <c r="N24"/>
      <c r="O24" s="6"/>
      <c r="P24"/>
      <c r="Q24" s="4"/>
      <c r="R24"/>
      <c r="S24"/>
      <c r="T24"/>
      <c r="U24"/>
      <c r="V24"/>
      <c r="W24" s="38"/>
      <c r="X24"/>
      <c r="Y24"/>
      <c r="Z24"/>
      <c r="AA24"/>
      <c r="AB24"/>
      <c r="AC24"/>
      <c r="AD24"/>
      <c r="AE24"/>
      <c r="AF24"/>
      <c r="AG24"/>
      <c r="AH24" s="4"/>
      <c r="AI24" s="4"/>
      <c r="AJ24"/>
      <c r="AK24"/>
      <c r="AL24" s="4"/>
      <c r="AM24" s="4"/>
      <c r="AN24"/>
      <c r="AO24"/>
      <c r="AP24" s="37"/>
      <c r="AQ24"/>
      <c r="AR24"/>
      <c r="AS24"/>
      <c r="AT24"/>
      <c r="AU24"/>
      <c r="AV24"/>
      <c r="AW24" s="39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43" customFormat="1" x14ac:dyDescent="0.2">
      <c r="A25"/>
      <c r="B25"/>
      <c r="C25" s="37"/>
      <c r="D25"/>
      <c r="E25"/>
      <c r="F25" s="4"/>
      <c r="G25"/>
      <c r="H25"/>
      <c r="I25"/>
      <c r="J25"/>
      <c r="K25"/>
      <c r="L25"/>
      <c r="M25"/>
      <c r="N25"/>
      <c r="O25" s="6"/>
      <c r="P25"/>
      <c r="Q25" s="4"/>
      <c r="R25"/>
      <c r="S25"/>
      <c r="T25"/>
      <c r="U25"/>
      <c r="V25"/>
      <c r="W25" s="38"/>
      <c r="X25"/>
      <c r="Y25"/>
      <c r="Z25"/>
      <c r="AA25"/>
      <c r="AB25"/>
      <c r="AC25"/>
      <c r="AD25"/>
      <c r="AE25"/>
      <c r="AF25"/>
      <c r="AG25"/>
      <c r="AH25" s="4"/>
      <c r="AI25" s="4"/>
      <c r="AJ25"/>
      <c r="AK25"/>
      <c r="AL25" s="4"/>
      <c r="AM25" s="4"/>
      <c r="AN25"/>
      <c r="AO25"/>
      <c r="AP25" s="37"/>
      <c r="AQ25"/>
      <c r="AR25"/>
      <c r="AS25"/>
      <c r="AT25"/>
      <c r="AU25"/>
      <c r="AV25"/>
      <c r="AW25" s="39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43" customFormat="1" x14ac:dyDescent="0.2">
      <c r="A26"/>
      <c r="B26"/>
      <c r="C26" s="37"/>
      <c r="D26"/>
      <c r="E26"/>
      <c r="F26" s="4"/>
      <c r="G26"/>
      <c r="H26"/>
      <c r="I26"/>
      <c r="J26"/>
      <c r="K26"/>
      <c r="L26"/>
      <c r="M26"/>
      <c r="N26"/>
      <c r="O26" s="6"/>
      <c r="P26"/>
      <c r="Q26" s="4"/>
      <c r="R26"/>
      <c r="S26"/>
      <c r="T26"/>
      <c r="U26"/>
      <c r="V26"/>
      <c r="W26" s="38"/>
      <c r="X26"/>
      <c r="Y26"/>
      <c r="Z26"/>
      <c r="AA26"/>
      <c r="AB26"/>
      <c r="AC26"/>
      <c r="AD26"/>
      <c r="AE26"/>
      <c r="AF26"/>
      <c r="AG26"/>
      <c r="AH26" s="4"/>
      <c r="AI26" s="4"/>
      <c r="AJ26"/>
      <c r="AK26"/>
      <c r="AL26" s="4"/>
      <c r="AM26" s="4"/>
      <c r="AN26"/>
      <c r="AO26"/>
      <c r="AP26" s="37"/>
      <c r="AQ26"/>
      <c r="AR26"/>
      <c r="AS26"/>
      <c r="AT26"/>
      <c r="AU26"/>
      <c r="AV26"/>
      <c r="AW26" s="39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43" customFormat="1" x14ac:dyDescent="0.2">
      <c r="A27"/>
      <c r="B27"/>
      <c r="C27" s="37"/>
      <c r="D27"/>
      <c r="E27"/>
      <c r="F27" s="4"/>
      <c r="G27"/>
      <c r="H27"/>
      <c r="I27"/>
      <c r="J27"/>
      <c r="K27"/>
      <c r="L27"/>
      <c r="M27"/>
      <c r="N27"/>
      <c r="O27" s="6"/>
      <c r="P27"/>
      <c r="Q27" s="4"/>
      <c r="R27"/>
      <c r="S27"/>
      <c r="T27"/>
      <c r="U27"/>
      <c r="V27"/>
      <c r="W27" s="38"/>
      <c r="X27"/>
      <c r="Y27"/>
      <c r="Z27"/>
      <c r="AA27"/>
      <c r="AB27"/>
      <c r="AC27"/>
      <c r="AD27"/>
      <c r="AE27"/>
      <c r="AF27"/>
      <c r="AG27"/>
      <c r="AH27" s="4"/>
      <c r="AI27" s="4"/>
      <c r="AJ27"/>
      <c r="AK27"/>
      <c r="AL27" s="4"/>
      <c r="AM27" s="4"/>
      <c r="AN27"/>
      <c r="AO27"/>
      <c r="AP27" s="37"/>
      <c r="AQ27"/>
      <c r="AR27"/>
      <c r="AS27"/>
      <c r="AT27"/>
      <c r="AU27"/>
      <c r="AV27"/>
      <c r="AW27" s="39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43" customFormat="1" x14ac:dyDescent="0.2">
      <c r="A28"/>
      <c r="B28"/>
      <c r="C28" s="37"/>
      <c r="D28"/>
      <c r="E28"/>
      <c r="F28" s="4"/>
      <c r="G28"/>
      <c r="H28"/>
      <c r="I28"/>
      <c r="J28"/>
      <c r="K28"/>
      <c r="L28"/>
      <c r="M28"/>
      <c r="N28"/>
      <c r="O28" s="6"/>
      <c r="P28"/>
      <c r="Q28" s="4"/>
      <c r="R28"/>
      <c r="S28"/>
      <c r="T28"/>
      <c r="U28"/>
      <c r="V28"/>
      <c r="W28" s="38"/>
      <c r="X28"/>
      <c r="Y28"/>
      <c r="Z28"/>
      <c r="AA28"/>
      <c r="AB28"/>
      <c r="AC28"/>
      <c r="AD28"/>
      <c r="AE28"/>
      <c r="AF28"/>
      <c r="AG28"/>
      <c r="AH28" s="4"/>
      <c r="AI28" s="4"/>
      <c r="AJ28"/>
      <c r="AK28"/>
      <c r="AL28" s="4"/>
      <c r="AM28" s="4"/>
      <c r="AN28"/>
      <c r="AO28"/>
      <c r="AP28" s="37"/>
      <c r="AQ28"/>
      <c r="AR28"/>
      <c r="AS28"/>
      <c r="AT28"/>
      <c r="AU28"/>
      <c r="AV28"/>
      <c r="AW28" s="39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43" customFormat="1" x14ac:dyDescent="0.2">
      <c r="A29"/>
      <c r="B29"/>
      <c r="C29" s="37"/>
      <c r="D29"/>
      <c r="E29"/>
      <c r="F29" s="4"/>
      <c r="G29"/>
      <c r="H29"/>
      <c r="I29"/>
      <c r="J29"/>
      <c r="K29"/>
      <c r="L29"/>
      <c r="M29"/>
      <c r="N29"/>
      <c r="O29" s="6"/>
      <c r="P29"/>
      <c r="Q29" s="4"/>
      <c r="R29"/>
      <c r="S29"/>
      <c r="T29"/>
      <c r="U29"/>
      <c r="V29"/>
      <c r="W29" s="38"/>
      <c r="X29"/>
      <c r="Y29"/>
      <c r="Z29"/>
      <c r="AA29"/>
      <c r="AB29"/>
      <c r="AC29"/>
      <c r="AD29"/>
      <c r="AE29"/>
      <c r="AF29"/>
      <c r="AG29"/>
      <c r="AH29" s="4"/>
      <c r="AI29" s="4"/>
      <c r="AJ29"/>
      <c r="AK29"/>
      <c r="AL29" s="4"/>
      <c r="AM29" s="4"/>
      <c r="AN29"/>
      <c r="AO29"/>
      <c r="AP29" s="37"/>
      <c r="AQ29"/>
      <c r="AR29"/>
      <c r="AS29"/>
      <c r="AT29"/>
      <c r="AU29"/>
      <c r="AV29"/>
      <c r="AW29" s="3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43" customFormat="1" x14ac:dyDescent="0.2">
      <c r="A30"/>
      <c r="B30"/>
      <c r="C30" s="37"/>
      <c r="D30"/>
      <c r="E30"/>
      <c r="F30" s="4"/>
      <c r="G30"/>
      <c r="H30"/>
      <c r="I30"/>
      <c r="J30"/>
      <c r="K30"/>
      <c r="L30"/>
      <c r="M30"/>
      <c r="N30"/>
      <c r="O30" s="6"/>
      <c r="P30"/>
      <c r="Q30" s="4"/>
      <c r="R30"/>
      <c r="S30"/>
      <c r="T30"/>
      <c r="U30"/>
      <c r="V30"/>
      <c r="W30" s="38"/>
      <c r="X30"/>
      <c r="Y30"/>
      <c r="Z30"/>
      <c r="AA30"/>
      <c r="AB30"/>
      <c r="AC30"/>
      <c r="AD30"/>
      <c r="AE30"/>
      <c r="AF30"/>
      <c r="AG30"/>
      <c r="AH30" s="4"/>
      <c r="AI30" s="4"/>
      <c r="AJ30"/>
      <c r="AK30"/>
      <c r="AL30" s="4"/>
      <c r="AM30" s="4"/>
      <c r="AN30"/>
      <c r="AO30"/>
      <c r="AP30" s="37"/>
      <c r="AQ30"/>
      <c r="AR30"/>
      <c r="AS30"/>
      <c r="AT30"/>
      <c r="AU30"/>
      <c r="AV30"/>
      <c r="AW30" s="39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43" customFormat="1" x14ac:dyDescent="0.2">
      <c r="A31"/>
      <c r="B31"/>
      <c r="C31" s="37"/>
      <c r="D31"/>
      <c r="E31"/>
      <c r="F31" s="4"/>
      <c r="G31"/>
      <c r="H31"/>
      <c r="I31"/>
      <c r="J31"/>
      <c r="K31"/>
      <c r="L31"/>
      <c r="M31"/>
      <c r="N31"/>
      <c r="O31" s="6"/>
      <c r="P31"/>
      <c r="Q31" s="4"/>
      <c r="R31"/>
      <c r="S31"/>
      <c r="T31"/>
      <c r="U31"/>
      <c r="V31"/>
      <c r="W31" s="38"/>
      <c r="X31"/>
      <c r="Y31"/>
      <c r="Z31"/>
      <c r="AA31"/>
      <c r="AB31"/>
      <c r="AC31"/>
      <c r="AD31"/>
      <c r="AE31"/>
      <c r="AF31"/>
      <c r="AG31"/>
      <c r="AH31" s="4"/>
      <c r="AI31" s="4"/>
      <c r="AJ31"/>
      <c r="AK31"/>
      <c r="AL31" s="4"/>
      <c r="AM31" s="4"/>
      <c r="AN31"/>
      <c r="AO31"/>
      <c r="AP31" s="37"/>
      <c r="AQ31"/>
      <c r="AR31"/>
      <c r="AS31"/>
      <c r="AT31"/>
      <c r="AU31"/>
      <c r="AV31"/>
      <c r="AW31" s="39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43" customFormat="1" x14ac:dyDescent="0.2">
      <c r="A32"/>
      <c r="B32"/>
      <c r="C32" s="37"/>
      <c r="D32"/>
      <c r="E32"/>
      <c r="F32" s="4"/>
      <c r="G32"/>
      <c r="H32"/>
      <c r="I32"/>
      <c r="J32"/>
      <c r="K32"/>
      <c r="L32"/>
      <c r="M32"/>
      <c r="N32"/>
      <c r="O32" s="6"/>
      <c r="P32"/>
      <c r="Q32" s="4"/>
      <c r="R32"/>
      <c r="S32"/>
      <c r="T32"/>
      <c r="U32"/>
      <c r="V32"/>
      <c r="W32" s="38"/>
      <c r="X32"/>
      <c r="Y32"/>
      <c r="Z32"/>
      <c r="AA32"/>
      <c r="AB32"/>
      <c r="AC32"/>
      <c r="AD32"/>
      <c r="AE32"/>
      <c r="AF32"/>
      <c r="AG32"/>
      <c r="AH32" s="4"/>
      <c r="AI32" s="4"/>
      <c r="AJ32"/>
      <c r="AK32"/>
      <c r="AL32" s="4"/>
      <c r="AM32" s="4"/>
      <c r="AN32"/>
      <c r="AO32"/>
      <c r="AP32" s="37"/>
      <c r="AQ32"/>
      <c r="AR32"/>
      <c r="AS32"/>
      <c r="AT32"/>
      <c r="AU32"/>
      <c r="AV32"/>
      <c r="AW32" s="39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43" customFormat="1" x14ac:dyDescent="0.2">
      <c r="A33"/>
      <c r="B33"/>
      <c r="C33" s="37"/>
      <c r="D33"/>
      <c r="E33"/>
      <c r="F33" s="4"/>
      <c r="G33"/>
      <c r="H33"/>
      <c r="I33"/>
      <c r="J33"/>
      <c r="K33"/>
      <c r="L33"/>
      <c r="M33"/>
      <c r="N33"/>
      <c r="O33" s="6"/>
      <c r="P33"/>
      <c r="Q33" s="4"/>
      <c r="R33"/>
      <c r="S33"/>
      <c r="T33"/>
      <c r="U33"/>
      <c r="V33"/>
      <c r="W33" s="38"/>
      <c r="X33"/>
      <c r="Y33"/>
      <c r="Z33"/>
      <c r="AA33"/>
      <c r="AB33"/>
      <c r="AC33"/>
      <c r="AD33"/>
      <c r="AE33"/>
      <c r="AF33"/>
      <c r="AG33"/>
      <c r="AH33" s="4"/>
      <c r="AI33" s="4"/>
      <c r="AJ33"/>
      <c r="AK33"/>
      <c r="AL33" s="4"/>
      <c r="AM33" s="4"/>
      <c r="AN33"/>
      <c r="AO33"/>
      <c r="AP33" s="37"/>
      <c r="AQ33"/>
      <c r="AR33"/>
      <c r="AS33"/>
      <c r="AT33"/>
      <c r="AU33"/>
      <c r="AV33"/>
      <c r="AW33" s="39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43" customFormat="1" x14ac:dyDescent="0.2">
      <c r="A34"/>
      <c r="B34"/>
      <c r="C34" s="37"/>
      <c r="D34"/>
      <c r="E34"/>
      <c r="F34" s="4"/>
      <c r="G34"/>
      <c r="H34"/>
      <c r="I34"/>
      <c r="J34"/>
      <c r="K34"/>
      <c r="L34"/>
      <c r="M34"/>
      <c r="N34"/>
      <c r="O34" s="6"/>
      <c r="P34"/>
      <c r="Q34" s="4"/>
      <c r="R34"/>
      <c r="S34"/>
      <c r="T34"/>
      <c r="U34"/>
      <c r="V34"/>
      <c r="W34" s="38"/>
      <c r="X34"/>
      <c r="Y34"/>
      <c r="Z34"/>
      <c r="AA34"/>
      <c r="AB34"/>
      <c r="AC34"/>
      <c r="AD34"/>
      <c r="AE34"/>
      <c r="AF34"/>
      <c r="AG34"/>
      <c r="AH34" s="4"/>
      <c r="AI34" s="4"/>
      <c r="AJ34"/>
      <c r="AK34"/>
      <c r="AL34" s="4"/>
      <c r="AM34" s="4"/>
      <c r="AN34"/>
      <c r="AO34"/>
      <c r="AP34" s="37"/>
      <c r="AQ34"/>
      <c r="AR34"/>
      <c r="AS34"/>
      <c r="AT34"/>
      <c r="AU34"/>
      <c r="AV34"/>
      <c r="AW34" s="39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43" customFormat="1" x14ac:dyDescent="0.2">
      <c r="A35"/>
      <c r="B35"/>
      <c r="C35" s="37"/>
      <c r="D35"/>
      <c r="E35"/>
      <c r="F35" s="4"/>
      <c r="G35"/>
      <c r="H35"/>
      <c r="I35"/>
      <c r="J35"/>
      <c r="K35"/>
      <c r="L35"/>
      <c r="M35"/>
      <c r="N35"/>
      <c r="O35" s="6"/>
      <c r="P35"/>
      <c r="Q35" s="4"/>
      <c r="R35"/>
      <c r="S35"/>
      <c r="T35"/>
      <c r="U35"/>
      <c r="V35"/>
      <c r="W35" s="38"/>
      <c r="X35"/>
      <c r="Y35"/>
      <c r="Z35"/>
      <c r="AA35"/>
      <c r="AB35"/>
      <c r="AC35"/>
      <c r="AD35"/>
      <c r="AE35"/>
      <c r="AF35"/>
      <c r="AG35"/>
      <c r="AH35" s="4"/>
      <c r="AI35" s="4"/>
      <c r="AJ35"/>
      <c r="AK35"/>
      <c r="AL35" s="4"/>
      <c r="AM35" s="4"/>
      <c r="AN35"/>
      <c r="AO35"/>
      <c r="AP35" s="37"/>
      <c r="AQ35"/>
      <c r="AR35"/>
      <c r="AS35"/>
      <c r="AT35"/>
      <c r="AU35"/>
      <c r="AV35"/>
      <c r="AW35" s="39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43" customFormat="1" x14ac:dyDescent="0.2">
      <c r="A36"/>
      <c r="B36"/>
      <c r="C36" s="37"/>
      <c r="D36"/>
      <c r="E36"/>
      <c r="F36" s="4"/>
      <c r="G36"/>
      <c r="H36"/>
      <c r="I36"/>
      <c r="J36"/>
      <c r="K36"/>
      <c r="L36"/>
      <c r="M36"/>
      <c r="N36"/>
      <c r="O36" s="6"/>
      <c r="P36"/>
      <c r="Q36" s="4"/>
      <c r="R36"/>
      <c r="S36"/>
      <c r="T36"/>
      <c r="U36"/>
      <c r="V36"/>
      <c r="W36" s="38"/>
      <c r="X36"/>
      <c r="Y36"/>
      <c r="Z36"/>
      <c r="AA36"/>
      <c r="AB36"/>
      <c r="AC36"/>
      <c r="AD36"/>
      <c r="AE36"/>
      <c r="AF36"/>
      <c r="AG36"/>
      <c r="AH36" s="4"/>
      <c r="AI36" s="4"/>
      <c r="AJ36"/>
      <c r="AK36"/>
      <c r="AL36" s="4"/>
      <c r="AM36" s="4"/>
      <c r="AN36"/>
      <c r="AO36"/>
      <c r="AP36" s="37"/>
      <c r="AQ36"/>
      <c r="AR36"/>
      <c r="AS36"/>
      <c r="AT36"/>
      <c r="AU36"/>
      <c r="AV36"/>
      <c r="AW36" s="39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43" customFormat="1" x14ac:dyDescent="0.2">
      <c r="A37"/>
      <c r="B37"/>
      <c r="C37" s="37"/>
      <c r="D37"/>
      <c r="E37"/>
      <c r="F37" s="4"/>
      <c r="G37"/>
      <c r="H37"/>
      <c r="I37"/>
      <c r="J37"/>
      <c r="K37"/>
      <c r="L37"/>
      <c r="M37"/>
      <c r="N37"/>
      <c r="O37" s="6"/>
      <c r="P37"/>
      <c r="Q37" s="4"/>
      <c r="R37"/>
      <c r="S37"/>
      <c r="T37"/>
      <c r="U37"/>
      <c r="V37"/>
      <c r="W37" s="38"/>
      <c r="X37"/>
      <c r="Y37"/>
      <c r="Z37"/>
      <c r="AA37"/>
      <c r="AB37"/>
      <c r="AC37"/>
      <c r="AD37"/>
      <c r="AE37"/>
      <c r="AF37"/>
      <c r="AG37"/>
      <c r="AH37" s="4"/>
      <c r="AI37" s="4"/>
      <c r="AJ37"/>
      <c r="AK37"/>
      <c r="AL37" s="4"/>
      <c r="AM37" s="4"/>
      <c r="AN37"/>
      <c r="AO37"/>
      <c r="AP37" s="37"/>
      <c r="AQ37"/>
      <c r="AR37"/>
      <c r="AS37"/>
      <c r="AT37"/>
      <c r="AU37"/>
      <c r="AV37"/>
      <c r="AW37" s="39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43" customFormat="1" x14ac:dyDescent="0.2">
      <c r="A38"/>
      <c r="B38"/>
      <c r="C38" s="37"/>
      <c r="D38"/>
      <c r="E38"/>
      <c r="F38" s="4"/>
      <c r="G38"/>
      <c r="H38"/>
      <c r="I38"/>
      <c r="J38"/>
      <c r="K38"/>
      <c r="L38"/>
      <c r="M38"/>
      <c r="N38"/>
      <c r="O38" s="6"/>
      <c r="P38"/>
      <c r="Q38" s="4"/>
      <c r="R38"/>
      <c r="S38"/>
      <c r="T38"/>
      <c r="U38"/>
      <c r="V38"/>
      <c r="W38" s="38"/>
      <c r="X38"/>
      <c r="Y38"/>
      <c r="Z38"/>
      <c r="AA38"/>
      <c r="AB38"/>
      <c r="AC38"/>
      <c r="AD38"/>
      <c r="AE38"/>
      <c r="AF38"/>
      <c r="AG38"/>
      <c r="AH38" s="4"/>
      <c r="AI38" s="4"/>
      <c r="AJ38"/>
      <c r="AK38"/>
      <c r="AL38" s="4"/>
      <c r="AM38" s="4"/>
      <c r="AN38"/>
      <c r="AO38"/>
      <c r="AP38" s="37"/>
      <c r="AQ38"/>
      <c r="AR38"/>
      <c r="AS38"/>
      <c r="AT38"/>
      <c r="AU38"/>
      <c r="AV38"/>
      <c r="AW38" s="39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43" customFormat="1" x14ac:dyDescent="0.2">
      <c r="A39"/>
      <c r="B39"/>
      <c r="C39" s="37"/>
      <c r="D39"/>
      <c r="E39"/>
      <c r="F39" s="4"/>
      <c r="G39"/>
      <c r="H39"/>
      <c r="I39"/>
      <c r="J39"/>
      <c r="K39"/>
      <c r="L39"/>
      <c r="M39"/>
      <c r="N39"/>
      <c r="O39" s="6"/>
      <c r="P39"/>
      <c r="Q39" s="4"/>
      <c r="R39"/>
      <c r="S39"/>
      <c r="T39"/>
      <c r="U39"/>
      <c r="V39"/>
      <c r="W39" s="38"/>
      <c r="X39"/>
      <c r="Y39"/>
      <c r="Z39"/>
      <c r="AA39"/>
      <c r="AB39"/>
      <c r="AC39"/>
      <c r="AD39"/>
      <c r="AE39"/>
      <c r="AF39"/>
      <c r="AG39"/>
      <c r="AH39" s="4"/>
      <c r="AI39" s="4"/>
      <c r="AJ39"/>
      <c r="AK39"/>
      <c r="AL39" s="4"/>
      <c r="AM39" s="4"/>
      <c r="AN39"/>
      <c r="AO39"/>
      <c r="AP39" s="37"/>
      <c r="AQ39"/>
      <c r="AR39"/>
      <c r="AS39"/>
      <c r="AT39"/>
      <c r="AU39"/>
      <c r="AV39"/>
      <c r="AW39" s="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43" customFormat="1" x14ac:dyDescent="0.2">
      <c r="A40"/>
      <c r="B40"/>
      <c r="C40" s="37"/>
      <c r="D40"/>
      <c r="E40"/>
      <c r="F40" s="4"/>
      <c r="G40"/>
      <c r="H40"/>
      <c r="I40"/>
      <c r="J40"/>
      <c r="K40"/>
      <c r="L40"/>
      <c r="M40"/>
      <c r="N40"/>
      <c r="O40" s="6"/>
      <c r="P40"/>
      <c r="Q40" s="4"/>
      <c r="R40"/>
      <c r="S40"/>
      <c r="T40"/>
      <c r="U40"/>
      <c r="V40"/>
      <c r="W40" s="38"/>
      <c r="X40"/>
      <c r="Y40"/>
      <c r="Z40"/>
      <c r="AA40"/>
      <c r="AB40"/>
      <c r="AC40"/>
      <c r="AD40"/>
      <c r="AE40"/>
      <c r="AF40"/>
      <c r="AG40"/>
      <c r="AH40" s="4"/>
      <c r="AI40" s="4"/>
      <c r="AJ40"/>
      <c r="AK40"/>
      <c r="AL40" s="4"/>
      <c r="AM40" s="4"/>
      <c r="AN40"/>
      <c r="AO40"/>
      <c r="AP40" s="37"/>
      <c r="AQ40"/>
      <c r="AR40"/>
      <c r="AS40"/>
      <c r="AT40"/>
      <c r="AU40"/>
      <c r="AV40"/>
      <c r="AW40" s="39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43" customFormat="1" x14ac:dyDescent="0.2">
      <c r="A41"/>
      <c r="B41"/>
      <c r="C41" s="37"/>
      <c r="D41"/>
      <c r="E41"/>
      <c r="F41" s="4"/>
      <c r="G41"/>
      <c r="H41"/>
      <c r="I41"/>
      <c r="J41"/>
      <c r="K41"/>
      <c r="L41"/>
      <c r="M41"/>
      <c r="N41"/>
      <c r="O41" s="6"/>
      <c r="P41"/>
      <c r="Q41" s="4"/>
      <c r="R41"/>
      <c r="S41"/>
      <c r="T41"/>
      <c r="U41"/>
      <c r="V41"/>
      <c r="W41" s="38"/>
      <c r="X41"/>
      <c r="Y41"/>
      <c r="Z41"/>
      <c r="AA41"/>
      <c r="AB41"/>
      <c r="AC41"/>
      <c r="AD41"/>
      <c r="AE41"/>
      <c r="AF41"/>
      <c r="AG41"/>
      <c r="AH41" s="4"/>
      <c r="AI41" s="4"/>
      <c r="AJ41"/>
      <c r="AK41"/>
      <c r="AL41" s="4"/>
      <c r="AM41" s="4"/>
      <c r="AN41"/>
      <c r="AO41"/>
      <c r="AP41" s="37"/>
      <c r="AQ41"/>
      <c r="AR41"/>
      <c r="AS41"/>
      <c r="AT41"/>
      <c r="AU41"/>
      <c r="AV41"/>
      <c r="AW41" s="39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43" customFormat="1" x14ac:dyDescent="0.2">
      <c r="A42"/>
      <c r="B42"/>
      <c r="C42" s="37"/>
      <c r="D42"/>
      <c r="E42"/>
      <c r="F42" s="4"/>
      <c r="G42"/>
      <c r="H42"/>
      <c r="I42"/>
      <c r="J42"/>
      <c r="K42"/>
      <c r="L42"/>
      <c r="M42"/>
      <c r="N42"/>
      <c r="O42" s="6"/>
      <c r="P42"/>
      <c r="Q42" s="4"/>
      <c r="R42"/>
      <c r="S42"/>
      <c r="T42"/>
      <c r="U42"/>
      <c r="V42"/>
      <c r="W42" s="38"/>
      <c r="X42"/>
      <c r="Y42"/>
      <c r="Z42"/>
      <c r="AA42"/>
      <c r="AB42"/>
      <c r="AC42"/>
      <c r="AD42"/>
      <c r="AE42"/>
      <c r="AF42"/>
      <c r="AG42"/>
      <c r="AH42" s="4"/>
      <c r="AI42" s="4"/>
      <c r="AJ42"/>
      <c r="AK42"/>
      <c r="AL42" s="4"/>
      <c r="AM42" s="4"/>
      <c r="AN42"/>
      <c r="AO42"/>
      <c r="AP42" s="37"/>
      <c r="AQ42"/>
      <c r="AR42"/>
      <c r="AS42"/>
      <c r="AT42"/>
      <c r="AU42"/>
      <c r="AV42"/>
      <c r="AW42" s="39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43" customFormat="1" x14ac:dyDescent="0.2">
      <c r="A43"/>
      <c r="B43"/>
      <c r="C43" s="37"/>
      <c r="D43"/>
      <c r="E43"/>
      <c r="F43" s="4"/>
      <c r="G43"/>
      <c r="H43"/>
      <c r="I43"/>
      <c r="J43"/>
      <c r="K43"/>
      <c r="L43"/>
      <c r="M43"/>
      <c r="N43"/>
      <c r="O43" s="6"/>
      <c r="P43"/>
      <c r="Q43" s="4"/>
      <c r="R43"/>
      <c r="S43"/>
      <c r="T43"/>
      <c r="U43"/>
      <c r="V43"/>
      <c r="W43" s="38"/>
      <c r="X43"/>
      <c r="Y43"/>
      <c r="Z43"/>
      <c r="AA43"/>
      <c r="AB43"/>
      <c r="AC43"/>
      <c r="AD43"/>
      <c r="AE43"/>
      <c r="AF43"/>
      <c r="AG43"/>
      <c r="AH43" s="4"/>
      <c r="AI43" s="4"/>
      <c r="AJ43"/>
      <c r="AK43"/>
      <c r="AL43" s="4"/>
      <c r="AM43" s="4"/>
      <c r="AN43"/>
      <c r="AO43"/>
      <c r="AP43" s="37"/>
      <c r="AQ43"/>
      <c r="AR43"/>
      <c r="AS43"/>
      <c r="AT43"/>
      <c r="AU43"/>
      <c r="AV43"/>
      <c r="AW43" s="39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43" customFormat="1" x14ac:dyDescent="0.2">
      <c r="A44"/>
      <c r="B44"/>
      <c r="C44" s="37"/>
      <c r="D44"/>
      <c r="E44"/>
      <c r="F44" s="4"/>
      <c r="G44"/>
      <c r="H44"/>
      <c r="I44"/>
      <c r="J44"/>
      <c r="K44"/>
      <c r="L44"/>
      <c r="M44"/>
      <c r="N44"/>
      <c r="O44" s="6"/>
      <c r="P44"/>
      <c r="Q44" s="4"/>
      <c r="R44"/>
      <c r="S44"/>
      <c r="T44"/>
      <c r="U44"/>
      <c r="V44"/>
      <c r="W44" s="38"/>
      <c r="X44"/>
      <c r="Y44"/>
      <c r="Z44"/>
      <c r="AA44"/>
      <c r="AB44"/>
      <c r="AC44"/>
      <c r="AD44"/>
      <c r="AE44"/>
      <c r="AF44"/>
      <c r="AG44"/>
      <c r="AH44" s="4"/>
      <c r="AI44" s="4"/>
      <c r="AJ44"/>
      <c r="AK44"/>
      <c r="AL44" s="4"/>
      <c r="AM44" s="4"/>
      <c r="AN44"/>
      <c r="AO44"/>
      <c r="AP44" s="37"/>
      <c r="AQ44"/>
      <c r="AR44"/>
      <c r="AS44"/>
      <c r="AT44"/>
      <c r="AU44"/>
      <c r="AV44"/>
      <c r="AW44" s="39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43" customFormat="1" x14ac:dyDescent="0.2">
      <c r="A45"/>
      <c r="B45"/>
      <c r="C45" s="37"/>
      <c r="D45"/>
      <c r="E45"/>
      <c r="F45" s="4"/>
      <c r="G45"/>
      <c r="H45"/>
      <c r="I45"/>
      <c r="J45"/>
      <c r="K45"/>
      <c r="L45"/>
      <c r="M45"/>
      <c r="N45"/>
      <c r="O45" s="6"/>
      <c r="P45"/>
      <c r="Q45" s="4"/>
      <c r="R45"/>
      <c r="S45"/>
      <c r="T45"/>
      <c r="U45"/>
      <c r="V45"/>
      <c r="W45" s="38"/>
      <c r="X45"/>
      <c r="Y45"/>
      <c r="Z45"/>
      <c r="AA45"/>
      <c r="AB45"/>
      <c r="AC45"/>
      <c r="AD45"/>
      <c r="AE45"/>
      <c r="AF45"/>
      <c r="AG45"/>
      <c r="AH45" s="4"/>
      <c r="AI45" s="4"/>
      <c r="AJ45"/>
      <c r="AK45"/>
      <c r="AL45" s="4"/>
      <c r="AM45" s="4"/>
      <c r="AN45"/>
      <c r="AO45"/>
      <c r="AP45" s="37"/>
      <c r="AQ45"/>
      <c r="AR45"/>
      <c r="AS45"/>
      <c r="AT45"/>
      <c r="AU45"/>
      <c r="AV45"/>
      <c r="AW45" s="39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43" customFormat="1" x14ac:dyDescent="0.2">
      <c r="A46"/>
      <c r="B46"/>
      <c r="C46" s="37"/>
      <c r="D46"/>
      <c r="E46"/>
      <c r="F46" s="4"/>
      <c r="G46"/>
      <c r="H46"/>
      <c r="I46"/>
      <c r="J46"/>
      <c r="K46"/>
      <c r="L46"/>
      <c r="M46"/>
      <c r="N46"/>
      <c r="O46" s="6"/>
      <c r="P46"/>
      <c r="Q46" s="4"/>
      <c r="R46"/>
      <c r="S46"/>
      <c r="T46"/>
      <c r="U46"/>
      <c r="V46"/>
      <c r="W46" s="38"/>
      <c r="X46"/>
      <c r="Y46"/>
      <c r="Z46"/>
      <c r="AA46"/>
      <c r="AB46"/>
      <c r="AC46"/>
      <c r="AD46"/>
      <c r="AE46"/>
      <c r="AF46"/>
      <c r="AG46"/>
      <c r="AH46" s="4"/>
      <c r="AI46" s="4"/>
      <c r="AJ46"/>
      <c r="AK46"/>
      <c r="AL46" s="4"/>
      <c r="AM46" s="4"/>
      <c r="AN46"/>
      <c r="AO46"/>
      <c r="AP46" s="37"/>
      <c r="AQ46"/>
      <c r="AR46"/>
      <c r="AS46"/>
      <c r="AT46"/>
      <c r="AU46"/>
      <c r="AV46"/>
      <c r="AW46" s="39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43" customFormat="1" x14ac:dyDescent="0.2">
      <c r="A47"/>
      <c r="B47"/>
      <c r="C47" s="37"/>
      <c r="D47"/>
      <c r="E47"/>
      <c r="F47" s="4"/>
      <c r="G47"/>
      <c r="H47"/>
      <c r="I47"/>
      <c r="J47"/>
      <c r="K47"/>
      <c r="L47"/>
      <c r="M47"/>
      <c r="N47"/>
      <c r="O47" s="6"/>
      <c r="P47"/>
      <c r="Q47" s="4"/>
      <c r="R47"/>
      <c r="S47"/>
      <c r="T47"/>
      <c r="U47"/>
      <c r="V47"/>
      <c r="W47" s="38"/>
      <c r="X47"/>
      <c r="Y47"/>
      <c r="Z47"/>
      <c r="AA47"/>
      <c r="AB47"/>
      <c r="AC47"/>
      <c r="AD47"/>
      <c r="AE47"/>
      <c r="AF47"/>
      <c r="AG47"/>
      <c r="AH47" s="4"/>
      <c r="AI47" s="4"/>
      <c r="AJ47"/>
      <c r="AK47"/>
      <c r="AL47" s="4"/>
      <c r="AM47" s="4"/>
      <c r="AN47"/>
      <c r="AO47"/>
      <c r="AP47" s="37"/>
      <c r="AQ47"/>
      <c r="AR47"/>
      <c r="AS47"/>
      <c r="AT47"/>
      <c r="AU47"/>
      <c r="AV47"/>
      <c r="AW47" s="39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43" customFormat="1" x14ac:dyDescent="0.2">
      <c r="A48"/>
      <c r="B48"/>
      <c r="C48" s="37"/>
      <c r="D48"/>
      <c r="E48"/>
      <c r="F48" s="4"/>
      <c r="G48"/>
      <c r="H48"/>
      <c r="I48"/>
      <c r="J48"/>
      <c r="K48"/>
      <c r="L48"/>
      <c r="M48"/>
      <c r="N48"/>
      <c r="O48" s="6"/>
      <c r="P48"/>
      <c r="Q48" s="4"/>
      <c r="R48"/>
      <c r="S48"/>
      <c r="T48"/>
      <c r="U48"/>
      <c r="V48"/>
      <c r="W48" s="38"/>
      <c r="X48"/>
      <c r="Y48"/>
      <c r="Z48"/>
      <c r="AA48"/>
      <c r="AB48"/>
      <c r="AC48"/>
      <c r="AD48"/>
      <c r="AE48"/>
      <c r="AF48"/>
      <c r="AG48"/>
      <c r="AH48" s="4"/>
      <c r="AI48" s="4"/>
      <c r="AJ48"/>
      <c r="AK48"/>
      <c r="AL48" s="4"/>
      <c r="AM48" s="4"/>
      <c r="AN48"/>
      <c r="AO48"/>
      <c r="AP48" s="37"/>
      <c r="AQ48"/>
      <c r="AR48"/>
      <c r="AS48"/>
      <c r="AT48"/>
      <c r="AU48"/>
      <c r="AV48"/>
      <c r="AW48" s="39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43" customFormat="1" x14ac:dyDescent="0.2">
      <c r="A49"/>
      <c r="B49"/>
      <c r="C49" s="37"/>
      <c r="D49"/>
      <c r="E49"/>
      <c r="F49" s="4"/>
      <c r="G49"/>
      <c r="H49"/>
      <c r="I49"/>
      <c r="J49"/>
      <c r="K49"/>
      <c r="L49"/>
      <c r="M49"/>
      <c r="N49"/>
      <c r="O49" s="6"/>
      <c r="P49"/>
      <c r="Q49" s="4"/>
      <c r="R49"/>
      <c r="S49"/>
      <c r="T49"/>
      <c r="U49"/>
      <c r="V49"/>
      <c r="W49" s="38"/>
      <c r="X49"/>
      <c r="Y49"/>
      <c r="Z49"/>
      <c r="AA49"/>
      <c r="AB49"/>
      <c r="AC49"/>
      <c r="AD49"/>
      <c r="AE49"/>
      <c r="AF49"/>
      <c r="AG49"/>
      <c r="AH49" s="4"/>
      <c r="AI49" s="4"/>
      <c r="AJ49"/>
      <c r="AK49"/>
      <c r="AL49" s="4"/>
      <c r="AM49" s="4"/>
      <c r="AN49"/>
      <c r="AO49"/>
      <c r="AP49" s="37"/>
      <c r="AQ49"/>
      <c r="AR49"/>
      <c r="AS49"/>
      <c r="AT49"/>
      <c r="AU49"/>
      <c r="AV49"/>
      <c r="AW49" s="3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43" customFormat="1" x14ac:dyDescent="0.2">
      <c r="A50"/>
      <c r="B50"/>
      <c r="C50" s="37"/>
      <c r="D50"/>
      <c r="E50"/>
      <c r="F50" s="4"/>
      <c r="G50"/>
      <c r="H50"/>
      <c r="I50"/>
      <c r="J50"/>
      <c r="K50"/>
      <c r="L50"/>
      <c r="M50"/>
      <c r="N50"/>
      <c r="O50" s="6"/>
      <c r="P50"/>
      <c r="Q50" s="4"/>
      <c r="R50"/>
      <c r="S50"/>
      <c r="T50"/>
      <c r="U50"/>
      <c r="V50"/>
      <c r="W50" s="38"/>
      <c r="X50"/>
      <c r="Y50"/>
      <c r="Z50"/>
      <c r="AA50"/>
      <c r="AB50"/>
      <c r="AC50"/>
      <c r="AD50"/>
      <c r="AE50"/>
      <c r="AF50"/>
      <c r="AG50"/>
      <c r="AH50" s="4"/>
      <c r="AI50" s="4"/>
      <c r="AJ50"/>
      <c r="AK50"/>
      <c r="AL50" s="4"/>
      <c r="AM50" s="4"/>
      <c r="AN50"/>
      <c r="AO50"/>
      <c r="AP50" s="37"/>
      <c r="AQ50"/>
      <c r="AR50"/>
      <c r="AS50"/>
      <c r="AT50"/>
      <c r="AU50"/>
      <c r="AV50"/>
      <c r="AW50" s="39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43" customFormat="1" x14ac:dyDescent="0.2">
      <c r="A51"/>
      <c r="B51"/>
      <c r="C51" s="37"/>
      <c r="D51"/>
      <c r="E51"/>
      <c r="F51" s="4"/>
      <c r="G51"/>
      <c r="H51"/>
      <c r="I51"/>
      <c r="J51"/>
      <c r="K51"/>
      <c r="L51"/>
      <c r="M51"/>
      <c r="N51"/>
      <c r="O51" s="6"/>
      <c r="P51"/>
      <c r="Q51" s="4"/>
      <c r="R51"/>
      <c r="S51"/>
      <c r="T51"/>
      <c r="U51"/>
      <c r="V51"/>
      <c r="W51" s="38"/>
      <c r="X51"/>
      <c r="Y51"/>
      <c r="Z51"/>
      <c r="AA51"/>
      <c r="AB51"/>
      <c r="AC51"/>
      <c r="AD51"/>
      <c r="AE51"/>
      <c r="AF51"/>
      <c r="AG51"/>
      <c r="AH51" s="4"/>
      <c r="AI51" s="4"/>
      <c r="AJ51"/>
      <c r="AK51"/>
      <c r="AL51" s="4"/>
      <c r="AM51" s="4"/>
      <c r="AN51"/>
      <c r="AO51"/>
      <c r="AP51" s="37"/>
      <c r="AQ51"/>
      <c r="AR51"/>
      <c r="AS51"/>
      <c r="AT51"/>
      <c r="AU51"/>
      <c r="AV51"/>
      <c r="AW51" s="39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43" customFormat="1" x14ac:dyDescent="0.2">
      <c r="A52"/>
      <c r="B52"/>
      <c r="C52" s="37"/>
      <c r="D52"/>
      <c r="E52"/>
      <c r="F52" s="4"/>
      <c r="G52"/>
      <c r="H52"/>
      <c r="I52"/>
      <c r="J52"/>
      <c r="K52"/>
      <c r="L52"/>
      <c r="M52"/>
      <c r="N52"/>
      <c r="O52" s="6"/>
      <c r="P52"/>
      <c r="Q52" s="4"/>
      <c r="R52"/>
      <c r="S52"/>
      <c r="T52"/>
      <c r="U52"/>
      <c r="V52"/>
      <c r="W52" s="38"/>
      <c r="X52"/>
      <c r="Y52"/>
      <c r="Z52"/>
      <c r="AA52"/>
      <c r="AB52"/>
      <c r="AC52"/>
      <c r="AD52"/>
      <c r="AE52"/>
      <c r="AF52"/>
      <c r="AG52"/>
      <c r="AH52" s="4"/>
      <c r="AI52" s="4"/>
      <c r="AJ52"/>
      <c r="AK52"/>
      <c r="AL52" s="4"/>
      <c r="AM52" s="4"/>
      <c r="AN52"/>
      <c r="AO52"/>
      <c r="AP52" s="37"/>
      <c r="AQ52"/>
      <c r="AR52"/>
      <c r="AS52"/>
      <c r="AT52"/>
      <c r="AU52"/>
      <c r="AV52"/>
      <c r="AW52" s="39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43" customFormat="1" x14ac:dyDescent="0.2">
      <c r="A53"/>
      <c r="B53"/>
      <c r="C53" s="37"/>
      <c r="D53"/>
      <c r="E53"/>
      <c r="F53" s="4"/>
      <c r="G53"/>
      <c r="H53"/>
      <c r="I53"/>
      <c r="J53"/>
      <c r="K53"/>
      <c r="L53"/>
      <c r="M53"/>
      <c r="N53"/>
      <c r="O53" s="6"/>
      <c r="P53"/>
      <c r="Q53" s="4"/>
      <c r="R53"/>
      <c r="S53"/>
      <c r="T53"/>
      <c r="U53"/>
      <c r="V53"/>
      <c r="W53" s="38"/>
      <c r="X53"/>
      <c r="Y53"/>
      <c r="Z53"/>
      <c r="AA53"/>
      <c r="AB53"/>
      <c r="AC53"/>
      <c r="AD53"/>
      <c r="AE53"/>
      <c r="AF53"/>
      <c r="AG53"/>
      <c r="AH53" s="4"/>
      <c r="AI53" s="4"/>
      <c r="AJ53"/>
      <c r="AK53"/>
      <c r="AL53" s="4"/>
      <c r="AM53" s="4"/>
      <c r="AN53"/>
      <c r="AO53"/>
      <c r="AP53" s="37"/>
      <c r="AQ53"/>
      <c r="AR53"/>
      <c r="AS53"/>
      <c r="AT53"/>
      <c r="AU53"/>
      <c r="AV53"/>
      <c r="AW53" s="39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43" customFormat="1" x14ac:dyDescent="0.2">
      <c r="A54"/>
      <c r="B54"/>
      <c r="C54" s="37"/>
      <c r="D54"/>
      <c r="E54"/>
      <c r="F54" s="4"/>
      <c r="G54"/>
      <c r="H54"/>
      <c r="I54"/>
      <c r="J54"/>
      <c r="K54"/>
      <c r="L54"/>
      <c r="M54"/>
      <c r="N54"/>
      <c r="O54" s="6"/>
      <c r="P54"/>
      <c r="Q54" s="4"/>
      <c r="R54"/>
      <c r="S54"/>
      <c r="T54"/>
      <c r="U54"/>
      <c r="V54"/>
      <c r="W54" s="38"/>
      <c r="X54"/>
      <c r="Y54"/>
      <c r="Z54"/>
      <c r="AA54"/>
      <c r="AB54"/>
      <c r="AC54"/>
      <c r="AD54"/>
      <c r="AE54"/>
      <c r="AF54"/>
      <c r="AG54"/>
      <c r="AH54" s="4"/>
      <c r="AI54" s="4"/>
      <c r="AJ54"/>
      <c r="AK54"/>
      <c r="AL54" s="4"/>
      <c r="AM54" s="4"/>
      <c r="AN54"/>
      <c r="AO54"/>
      <c r="AP54" s="37"/>
      <c r="AQ54"/>
      <c r="AR54"/>
      <c r="AS54"/>
      <c r="AT54"/>
      <c r="AU54"/>
      <c r="AV54"/>
      <c r="AW54" s="39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43" customFormat="1" x14ac:dyDescent="0.2">
      <c r="A55"/>
      <c r="B55"/>
      <c r="C55" s="37"/>
      <c r="D55"/>
      <c r="E55"/>
      <c r="F55" s="4"/>
      <c r="G55"/>
      <c r="H55"/>
      <c r="I55"/>
      <c r="J55"/>
      <c r="K55"/>
      <c r="L55"/>
      <c r="M55"/>
      <c r="N55"/>
      <c r="O55" s="6"/>
      <c r="P55"/>
      <c r="Q55" s="4"/>
      <c r="R55"/>
      <c r="S55"/>
      <c r="T55"/>
      <c r="U55"/>
      <c r="V55"/>
      <c r="W55" s="38"/>
      <c r="X55"/>
      <c r="Y55"/>
      <c r="Z55"/>
      <c r="AA55"/>
      <c r="AB55"/>
      <c r="AC55"/>
      <c r="AD55"/>
      <c r="AE55"/>
      <c r="AF55"/>
      <c r="AG55"/>
      <c r="AH55" s="4"/>
      <c r="AI55" s="4"/>
      <c r="AJ55"/>
      <c r="AK55"/>
      <c r="AL55" s="4"/>
      <c r="AM55" s="4"/>
      <c r="AN55"/>
      <c r="AO55"/>
      <c r="AP55" s="37"/>
      <c r="AQ55"/>
      <c r="AR55"/>
      <c r="AS55"/>
      <c r="AT55"/>
      <c r="AU55"/>
      <c r="AV55"/>
      <c r="AW55" s="39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43" customFormat="1" x14ac:dyDescent="0.2">
      <c r="A56"/>
      <c r="B56"/>
      <c r="C56" s="37"/>
      <c r="D56"/>
      <c r="E56"/>
      <c r="F56" s="4"/>
      <c r="G56"/>
      <c r="H56"/>
      <c r="I56"/>
      <c r="J56"/>
      <c r="K56"/>
      <c r="L56"/>
      <c r="M56"/>
      <c r="N56"/>
      <c r="O56" s="6"/>
      <c r="P56"/>
      <c r="Q56" s="4"/>
      <c r="R56"/>
      <c r="S56"/>
      <c r="T56"/>
      <c r="U56"/>
      <c r="V56"/>
      <c r="W56" s="38"/>
      <c r="X56"/>
      <c r="Y56"/>
      <c r="Z56"/>
      <c r="AA56"/>
      <c r="AB56"/>
      <c r="AC56"/>
      <c r="AD56"/>
      <c r="AE56"/>
      <c r="AF56"/>
      <c r="AG56"/>
      <c r="AH56" s="4"/>
      <c r="AI56" s="4"/>
      <c r="AJ56"/>
      <c r="AK56"/>
      <c r="AL56" s="4"/>
      <c r="AM56" s="4"/>
      <c r="AN56"/>
      <c r="AO56"/>
      <c r="AP56" s="37"/>
      <c r="AQ56"/>
      <c r="AR56"/>
      <c r="AS56"/>
      <c r="AT56"/>
      <c r="AU56"/>
      <c r="AV56"/>
      <c r="AW56" s="39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43" customFormat="1" x14ac:dyDescent="0.2">
      <c r="A57"/>
      <c r="B57"/>
      <c r="C57" s="37"/>
      <c r="D57"/>
      <c r="E57"/>
      <c r="F57" s="4"/>
      <c r="G57"/>
      <c r="H57"/>
      <c r="I57"/>
      <c r="J57"/>
      <c r="K57"/>
      <c r="L57"/>
      <c r="M57"/>
      <c r="N57"/>
      <c r="O57" s="6"/>
      <c r="P57"/>
      <c r="Q57" s="4"/>
      <c r="R57"/>
      <c r="S57"/>
      <c r="T57"/>
      <c r="U57"/>
      <c r="V57"/>
      <c r="W57" s="38"/>
      <c r="X57"/>
      <c r="Y57"/>
      <c r="Z57"/>
      <c r="AA57"/>
      <c r="AB57"/>
      <c r="AC57"/>
      <c r="AD57"/>
      <c r="AE57"/>
      <c r="AF57"/>
      <c r="AG57"/>
      <c r="AH57" s="4"/>
      <c r="AI57" s="4"/>
      <c r="AJ57"/>
      <c r="AK57"/>
      <c r="AL57" s="4"/>
      <c r="AM57" s="4"/>
      <c r="AN57"/>
      <c r="AO57"/>
      <c r="AP57" s="37"/>
      <c r="AQ57"/>
      <c r="AR57"/>
      <c r="AS57"/>
      <c r="AT57"/>
      <c r="AU57"/>
      <c r="AV57"/>
      <c r="AW57" s="39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43" customFormat="1" x14ac:dyDescent="0.2">
      <c r="A58"/>
      <c r="B58"/>
      <c r="C58" s="37"/>
      <c r="D58"/>
      <c r="E58"/>
      <c r="F58" s="4"/>
      <c r="G58"/>
      <c r="H58"/>
      <c r="I58"/>
      <c r="J58"/>
      <c r="K58"/>
      <c r="L58"/>
      <c r="M58"/>
      <c r="N58"/>
      <c r="O58" s="6"/>
      <c r="P58"/>
      <c r="Q58" s="4"/>
      <c r="R58"/>
      <c r="S58"/>
      <c r="T58"/>
      <c r="U58"/>
      <c r="V58"/>
      <c r="W58" s="38"/>
      <c r="X58"/>
      <c r="Y58"/>
      <c r="Z58"/>
      <c r="AA58"/>
      <c r="AB58"/>
      <c r="AC58"/>
      <c r="AD58"/>
      <c r="AE58"/>
      <c r="AF58"/>
      <c r="AG58"/>
      <c r="AH58" s="4"/>
      <c r="AI58" s="4"/>
      <c r="AJ58"/>
      <c r="AK58"/>
      <c r="AL58" s="4"/>
      <c r="AM58" s="4"/>
      <c r="AN58"/>
      <c r="AO58"/>
      <c r="AP58" s="37"/>
      <c r="AQ58"/>
      <c r="AR58"/>
      <c r="AS58"/>
      <c r="AT58"/>
      <c r="AU58"/>
      <c r="AV58"/>
      <c r="AW58" s="39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</sheetData>
  <phoneticPr fontId="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72DE2-368D-4085-8C28-4FD7FB198D8B}">
  <sheetPr codeName="Hoja3">
    <tabColor theme="9" tint="0.39997558519241921"/>
  </sheetPr>
  <dimension ref="A1:Q2"/>
  <sheetViews>
    <sheetView workbookViewId="0">
      <selection activeCell="A3" sqref="A3"/>
    </sheetView>
  </sheetViews>
  <sheetFormatPr baseColWidth="10" defaultRowHeight="12.75" x14ac:dyDescent="0.2"/>
  <cols>
    <col min="2" max="2" width="15.140625" style="4" customWidth="1"/>
    <col min="3" max="3" width="12.7109375" customWidth="1"/>
    <col min="5" max="5" width="22.85546875" bestFit="1" customWidth="1"/>
    <col min="6" max="6" width="14.140625" style="45" customWidth="1"/>
    <col min="7" max="7" width="12" customWidth="1"/>
    <col min="8" max="8" width="16" style="45" customWidth="1"/>
    <col min="9" max="9" width="14.42578125" customWidth="1"/>
    <col min="10" max="10" width="13.85546875" style="45" customWidth="1"/>
    <col min="11" max="11" width="12.42578125" style="45" customWidth="1"/>
    <col min="12" max="12" width="16.140625" customWidth="1"/>
    <col min="13" max="13" width="12.28515625" customWidth="1"/>
    <col min="15" max="15" width="15.140625" customWidth="1"/>
    <col min="16" max="16" width="15.5703125" customWidth="1"/>
  </cols>
  <sheetData>
    <row r="1" spans="1:17" x14ac:dyDescent="0.2">
      <c r="A1" s="19" t="s">
        <v>1348</v>
      </c>
      <c r="B1" s="20" t="s">
        <v>1425</v>
      </c>
      <c r="C1" s="21" t="s">
        <v>1426</v>
      </c>
      <c r="D1" s="21" t="s">
        <v>1427</v>
      </c>
      <c r="E1" s="22" t="s">
        <v>1428</v>
      </c>
      <c r="F1" s="44" t="s">
        <v>1429</v>
      </c>
      <c r="G1" s="21" t="s">
        <v>1430</v>
      </c>
      <c r="H1" s="46" t="s">
        <v>1431</v>
      </c>
      <c r="I1" s="21" t="s">
        <v>1363</v>
      </c>
      <c r="J1" s="46" t="s">
        <v>1362</v>
      </c>
      <c r="K1" s="46" t="s">
        <v>1432</v>
      </c>
      <c r="L1" s="21" t="s">
        <v>1364</v>
      </c>
      <c r="M1" s="21" t="s">
        <v>1377</v>
      </c>
      <c r="N1" s="21" t="s">
        <v>1433</v>
      </c>
      <c r="O1" s="21" t="s">
        <v>1434</v>
      </c>
      <c r="P1" s="21" t="s">
        <v>1422</v>
      </c>
      <c r="Q1" s="21" t="s">
        <v>1435</v>
      </c>
    </row>
    <row r="2" spans="1:17" x14ac:dyDescent="0.2">
      <c r="A2" s="19"/>
      <c r="B2" s="20"/>
      <c r="C2" s="21"/>
      <c r="D2" s="21"/>
      <c r="E2" s="22"/>
      <c r="F2" s="44"/>
      <c r="G2" s="21"/>
      <c r="H2" s="46">
        <f>+Tabla10[[#This Row],[precio_venta]]</f>
        <v>0</v>
      </c>
      <c r="I2" s="21"/>
      <c r="J2" s="46" t="str">
        <f>IF(A2="","",ROUND(D2*F2,2))</f>
        <v/>
      </c>
      <c r="K2" s="46"/>
      <c r="L2" s="21"/>
      <c r="M2" s="21"/>
      <c r="N2" s="21"/>
      <c r="O2" s="21"/>
      <c r="P2" s="21"/>
      <c r="Q2" s="21"/>
    </row>
  </sheetData>
  <phoneticPr fontId="3" type="noConversion"/>
  <dataValidations count="1">
    <dataValidation type="list" allowBlank="1" showInputMessage="1" showErrorMessage="1" sqref="F1:F2" xr:uid="{831CE1BA-B23E-4F3C-AA4F-81B37A9498F2}">
      <formula1>INDIRECT(#REF!)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7669ED-02F4-428D-805C-EA84FD2CB8A1}">
          <x14:formula1>
            <xm:f>AYUDA!$F$20:$F$22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AYUDA</vt:lpstr>
      <vt:lpstr>Clientes</vt:lpstr>
      <vt:lpstr>ventas</vt:lpstr>
      <vt:lpstr>detalle_ventas</vt:lpstr>
      <vt:lpstr>Garrafon</vt:lpstr>
      <vt:lpstr>Pet_500_ml___Agua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JoseR</dc:creator>
  <cp:lastModifiedBy>José Marcelo Hernández Cerritos</cp:lastModifiedBy>
  <dcterms:created xsi:type="dcterms:W3CDTF">2024-11-15T17:10:45Z</dcterms:created>
  <dcterms:modified xsi:type="dcterms:W3CDTF">2026-03-19T21:03:48Z</dcterms:modified>
</cp:coreProperties>
</file>